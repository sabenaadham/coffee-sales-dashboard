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Data_Analysis\"/>
    </mc:Choice>
  </mc:AlternateContent>
  <xr:revisionPtr revIDLastSave="0" documentId="8_{038ACD1A-078B-43B0-B252-738FAFE122CD}" xr6:coauthVersionLast="47" xr6:coauthVersionMax="47" xr10:uidLastSave="{00000000-0000-0000-0000-000000000000}"/>
  <bookViews>
    <workbookView xWindow="-108" yWindow="-108" windowWidth="23256" windowHeight="12456" firstSheet="2" activeTab="6" xr2:uid="{00000000-000D-0000-FFFF-FFFF00000000}"/>
  </bookViews>
  <sheets>
    <sheet name="Total Sales" sheetId="18" r:id="rId1"/>
    <sheet name="Country BarChart" sheetId="19" r:id="rId2"/>
    <sheet name="Top 5 Customers" sheetId="20" r:id="rId3"/>
    <sheet name="orders" sheetId="17" r:id="rId4"/>
    <sheet name="customers" sheetId="13" r:id="rId5"/>
    <sheet name="products" sheetId="2" r:id="rId6"/>
    <sheet name="Dashboards" sheetId="26"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51" i="17"/>
  <c r="O300" i="17"/>
  <c r="O336" i="17"/>
  <c r="O395" i="17"/>
  <c r="O457" i="17"/>
  <c r="O477" i="17"/>
  <c r="O480" i="17"/>
  <c r="O679" i="17"/>
  <c r="O680" i="17"/>
  <c r="O699" i="17"/>
  <c r="O811" i="17"/>
  <c r="O813" i="17"/>
  <c r="O827" i="17"/>
  <c r="O943" i="17"/>
  <c r="O987" i="17"/>
  <c r="N43" i="17"/>
  <c r="N57" i="17"/>
  <c r="N83" i="17"/>
  <c r="N85" i="17"/>
  <c r="N105" i="17"/>
  <c r="N296" i="17"/>
  <c r="N299" i="17"/>
  <c r="N303" i="17"/>
  <c r="N331" i="17"/>
  <c r="N373" i="17"/>
  <c r="N379" i="17"/>
  <c r="N385" i="17"/>
  <c r="N395" i="17"/>
  <c r="N495" i="17"/>
  <c r="N496" i="17"/>
  <c r="N525" i="17"/>
  <c r="N555" i="17"/>
  <c r="N571" i="17"/>
  <c r="N603" i="17"/>
  <c r="N607" i="17"/>
  <c r="N609" i="17"/>
  <c r="N703" i="17"/>
  <c r="N735" i="17"/>
  <c r="N736" i="17"/>
  <c r="N764" i="17"/>
  <c r="N775" i="17"/>
  <c r="N795" i="17"/>
  <c r="N797" i="17"/>
  <c r="N863" i="17"/>
  <c r="N875" i="17"/>
  <c r="N903" i="17"/>
  <c r="N905" i="17"/>
  <c r="N909" i="17"/>
  <c r="N911" i="17"/>
  <c r="N929" i="17"/>
  <c r="N995" i="17"/>
  <c r="N999" i="17"/>
  <c r="N1001" i="17"/>
  <c r="M24" i="17"/>
  <c r="M47" i="17"/>
  <c r="M48" i="17"/>
  <c r="M135" i="17"/>
  <c r="M147" i="17"/>
  <c r="M148" i="17"/>
  <c r="M180" i="17"/>
  <c r="M215" i="17"/>
  <c r="M283" i="17"/>
  <c r="M297" i="17"/>
  <c r="M347" i="17"/>
  <c r="M348" i="17"/>
  <c r="M365" i="17"/>
  <c r="M471" i="17"/>
  <c r="M475" i="17"/>
  <c r="M536" i="17"/>
  <c r="M680" i="17"/>
  <c r="M784" i="17"/>
  <c r="M791" i="17"/>
  <c r="M804" i="17"/>
  <c r="M884" i="17"/>
  <c r="M895" i="17"/>
  <c r="M896" i="17"/>
  <c r="M900" i="17"/>
  <c r="M951" i="17"/>
  <c r="M991" i="17"/>
  <c r="M997" i="17"/>
  <c r="I8" i="17"/>
  <c r="N8"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I48" i="17"/>
  <c r="N48" i="17" s="1"/>
  <c r="J48" i="17"/>
  <c r="O48" i="17" s="1"/>
  <c r="K48" i="17"/>
  <c r="L48" i="17"/>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J83" i="17"/>
  <c r="O83" i="17" s="1"/>
  <c r="K83" i="17"/>
  <c r="L83" i="17"/>
  <c r="M83" i="17" s="1"/>
  <c r="I84" i="17"/>
  <c r="N84" i="17" s="1"/>
  <c r="J84" i="17"/>
  <c r="O84" i="17" s="1"/>
  <c r="K84" i="17"/>
  <c r="L84" i="17"/>
  <c r="M84" i="17" s="1"/>
  <c r="I85" i="17"/>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I148" i="17"/>
  <c r="N148" i="17" s="1"/>
  <c r="J148" i="17"/>
  <c r="O148" i="17" s="1"/>
  <c r="K148" i="17"/>
  <c r="L148" i="17"/>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J296" i="17"/>
  <c r="O296" i="17" s="1"/>
  <c r="K296" i="17"/>
  <c r="L296" i="17"/>
  <c r="M296" i="17" s="1"/>
  <c r="I297" i="17"/>
  <c r="N297" i="17" s="1"/>
  <c r="J297" i="17"/>
  <c r="O297" i="17" s="1"/>
  <c r="K297" i="17"/>
  <c r="L297" i="17"/>
  <c r="I298" i="17"/>
  <c r="N298" i="17" s="1"/>
  <c r="J298" i="17"/>
  <c r="O298" i="17" s="1"/>
  <c r="K298" i="17"/>
  <c r="L298" i="17"/>
  <c r="M298" i="17" s="1"/>
  <c r="I299" i="17"/>
  <c r="J299" i="17"/>
  <c r="O299" i="17" s="1"/>
  <c r="K299" i="17"/>
  <c r="L299" i="17"/>
  <c r="M299" i="17" s="1"/>
  <c r="I300" i="17"/>
  <c r="N300" i="17" s="1"/>
  <c r="J300" i="17"/>
  <c r="K300" i="17"/>
  <c r="L300" i="17"/>
  <c r="M300" i="17" s="1"/>
  <c r="I301" i="17"/>
  <c r="N301" i="17" s="1"/>
  <c r="J301" i="17"/>
  <c r="O301" i="17" s="1"/>
  <c r="K301" i="17"/>
  <c r="L301" i="17"/>
  <c r="M301" i="17" s="1"/>
  <c r="I302" i="17"/>
  <c r="N302" i="17" s="1"/>
  <c r="J302" i="17"/>
  <c r="O302" i="17" s="1"/>
  <c r="K302" i="17"/>
  <c r="L302" i="17"/>
  <c r="M302" i="17" s="1"/>
  <c r="I303" i="17"/>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I348" i="17"/>
  <c r="N348" i="17" s="1"/>
  <c r="J348" i="17"/>
  <c r="O348" i="17" s="1"/>
  <c r="K348" i="17"/>
  <c r="L348" i="17"/>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J395" i="17"/>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I476" i="17"/>
  <c r="N476" i="17" s="1"/>
  <c r="J476" i="17"/>
  <c r="O476" i="17" s="1"/>
  <c r="K476" i="17"/>
  <c r="L476" i="17"/>
  <c r="M476" i="17" s="1"/>
  <c r="I477" i="17"/>
  <c r="N477" i="17" s="1"/>
  <c r="J477" i="17"/>
  <c r="K477" i="17"/>
  <c r="L477" i="17"/>
  <c r="M477" i="17" s="1"/>
  <c r="I478" i="17"/>
  <c r="N478" i="17" s="1"/>
  <c r="J478" i="17"/>
  <c r="O478" i="17" s="1"/>
  <c r="K478" i="17"/>
  <c r="L478" i="17"/>
  <c r="M478" i="17" s="1"/>
  <c r="I479" i="17"/>
  <c r="N479" i="17" s="1"/>
  <c r="J479" i="17"/>
  <c r="O479" i="17" s="1"/>
  <c r="K479" i="17"/>
  <c r="L479" i="17"/>
  <c r="M479" i="17" s="1"/>
  <c r="I480" i="17"/>
  <c r="N480" i="17" s="1"/>
  <c r="J480" i="17"/>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J495" i="17"/>
  <c r="O495" i="17" s="1"/>
  <c r="K495" i="17"/>
  <c r="L495" i="17"/>
  <c r="M495" i="17" s="1"/>
  <c r="I496" i="17"/>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J607" i="17"/>
  <c r="O607" i="17" s="1"/>
  <c r="K607" i="17"/>
  <c r="L607" i="17"/>
  <c r="M607" i="17" s="1"/>
  <c r="I608" i="17"/>
  <c r="N608" i="17" s="1"/>
  <c r="J608" i="17"/>
  <c r="O608" i="17" s="1"/>
  <c r="K608" i="17"/>
  <c r="L608" i="17"/>
  <c r="M608" i="17" s="1"/>
  <c r="I609" i="17"/>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K679" i="17"/>
  <c r="L679" i="17"/>
  <c r="M679" i="17" s="1"/>
  <c r="I680" i="17"/>
  <c r="N680" i="17" s="1"/>
  <c r="J680" i="17"/>
  <c r="K680" i="17"/>
  <c r="L680" i="17"/>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J735" i="17"/>
  <c r="O735" i="17" s="1"/>
  <c r="K735" i="17"/>
  <c r="L735" i="17"/>
  <c r="M735" i="17" s="1"/>
  <c r="I736" i="17"/>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J795" i="17"/>
  <c r="O795" i="17" s="1"/>
  <c r="K795" i="17"/>
  <c r="L795" i="17"/>
  <c r="M795" i="17" s="1"/>
  <c r="I796" i="17"/>
  <c r="N796" i="17" s="1"/>
  <c r="J796" i="17"/>
  <c r="O796" i="17" s="1"/>
  <c r="K796" i="17"/>
  <c r="L796" i="17"/>
  <c r="M796" i="17" s="1"/>
  <c r="I797" i="17"/>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K811" i="17"/>
  <c r="L811" i="17"/>
  <c r="M811" i="17" s="1"/>
  <c r="I812" i="17"/>
  <c r="N812" i="17" s="1"/>
  <c r="J812" i="17"/>
  <c r="O812" i="17" s="1"/>
  <c r="K812" i="17"/>
  <c r="L812" i="17"/>
  <c r="M812" i="17" s="1"/>
  <c r="I813" i="17"/>
  <c r="N813" i="17" s="1"/>
  <c r="J813" i="17"/>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I896" i="17"/>
  <c r="N896" i="17" s="1"/>
  <c r="J896" i="17"/>
  <c r="O896" i="17" s="1"/>
  <c r="K896" i="17"/>
  <c r="L896" i="17"/>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I901" i="17"/>
  <c r="N901" i="17" s="1"/>
  <c r="J901" i="17"/>
  <c r="O901" i="17" s="1"/>
  <c r="K901" i="17"/>
  <c r="L901" i="17"/>
  <c r="M901" i="17" s="1"/>
  <c r="I902" i="17"/>
  <c r="N902" i="17" s="1"/>
  <c r="J902" i="17"/>
  <c r="O902" i="17" s="1"/>
  <c r="K902" i="17"/>
  <c r="L902" i="17"/>
  <c r="M902" i="17" s="1"/>
  <c r="I903" i="17"/>
  <c r="J903" i="17"/>
  <c r="O903" i="17" s="1"/>
  <c r="K903" i="17"/>
  <c r="L903" i="17"/>
  <c r="M903" i="17" s="1"/>
  <c r="I904" i="17"/>
  <c r="N904" i="17" s="1"/>
  <c r="J904" i="17"/>
  <c r="O904" i="17" s="1"/>
  <c r="K904" i="17"/>
  <c r="L904" i="17"/>
  <c r="M904" i="17" s="1"/>
  <c r="I905" i="17"/>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J909" i="17"/>
  <c r="O909" i="17" s="1"/>
  <c r="K909" i="17"/>
  <c r="L909" i="17"/>
  <c r="M909" i="17" s="1"/>
  <c r="I910" i="17"/>
  <c r="N910" i="17" s="1"/>
  <c r="J910" i="17"/>
  <c r="O910" i="17" s="1"/>
  <c r="K910" i="17"/>
  <c r="L910" i="17"/>
  <c r="M910" i="17" s="1"/>
  <c r="I911" i="17"/>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J995" i="17"/>
  <c r="O995" i="17" s="1"/>
  <c r="K995" i="17"/>
  <c r="L995" i="17"/>
  <c r="M995" i="17" s="1"/>
  <c r="I996" i="17"/>
  <c r="N996" i="17" s="1"/>
  <c r="J996" i="17"/>
  <c r="O996" i="17" s="1"/>
  <c r="K996" i="17"/>
  <c r="L996" i="17"/>
  <c r="M996" i="17" s="1"/>
  <c r="I997" i="17"/>
  <c r="N997" i="17" s="1"/>
  <c r="J997" i="17"/>
  <c r="O997" i="17" s="1"/>
  <c r="K997" i="17"/>
  <c r="L997" i="17"/>
  <c r="I998" i="17"/>
  <c r="N998" i="17" s="1"/>
  <c r="J998" i="17"/>
  <c r="O998" i="17" s="1"/>
  <c r="K998" i="17"/>
  <c r="L998" i="17"/>
  <c r="M998" i="17" s="1"/>
  <c r="I999" i="17"/>
  <c r="J999" i="17"/>
  <c r="O999" i="17" s="1"/>
  <c r="K999" i="17"/>
  <c r="L999" i="17"/>
  <c r="M999" i="17" s="1"/>
  <c r="I1000" i="17"/>
  <c r="N1000" i="17" s="1"/>
  <c r="J1000" i="17"/>
  <c r="O1000" i="17" s="1"/>
  <c r="K1000" i="17"/>
  <c r="L1000" i="17"/>
  <c r="M1000" i="17" s="1"/>
  <c r="I1001" i="17"/>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<sst xmlns="http://schemas.openxmlformats.org/spreadsheetml/2006/main" count="11128" uniqueCount="6221">
  <si>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</si>
  <si>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</si>
  <si>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</si>
  <si>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</si>
  <si>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</si>
  <si>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</si>
  <si>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</si>
  <si>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</si>
  <si>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</si>
  <si>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</si>
  <si>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</si>
  <si>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</si>
  <si>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</si>
  <si>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</si>
  <si>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</si>
  <si>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</si>
  <si>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</si>
  <si>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</si>
  <si>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</si>
  <si>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</si>
  <si>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</si>
  <si>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</si>
  <si>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</si>
  <si>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</si>
  <si>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</si>
  <si>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</si>
  <si>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</si>
  <si>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</si>
  <si>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</si>
  <si>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</si>
  <si>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</si>
  <si>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</si>
  <si>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</si>
  <si>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</si>
  <si>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</si>
  <si>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</si>
  <si>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</si>
  <si>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</si>
  <si>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</si>
  <si>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</si>
  <si>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</si>
  <si>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</si>
  <si>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</si>
  <si>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</si>
  <si>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</si>
  <si>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</si>
  <si>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</si>
  <si>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</si>
  <si>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</si>
  <si>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</si>
  <si>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</si>
  <si>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</si>
  <si>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</si>
  <si>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</si>
  <si>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</si>
  <si>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</si>
  <si>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</si>
  <si>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</si>
  <si>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</si>
  <si>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</si>
  <si>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</si>
  <si>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</si>
  <si>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</si>
  <si>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</si>
  <si>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</si>
  <si>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</si>
  <si>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</si>
  <si>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</si>
  <si>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</si>
  <si>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</si>
  <si>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</si>
  <si>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</si>
  <si>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</si>
  <si>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</si>
  <si>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</si>
  <si>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</si>
  <si>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</si>
  <si>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</si>
  <si>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</si>
  <si>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</si>
  <si>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</si>
  <si>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</si>
  <si>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</si>
  <si>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</si>
  <si>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</si>
  <si>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</si>
  <si>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</si>
  <si>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</si>
  <si>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</si>
  <si>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</si>
  <si>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</si>
  <si>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</si>
  <si>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</si>
  <si>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</si>
  <si>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</si>
  <si>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</si>
  <si>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</si>
  <si>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</si>
  <si>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</si>
  <si>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</si>
  <si>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</si>
  <si>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</si>
  <si>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</si>
  <si>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</si>
  <si>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</si>
  <si>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</si>
  <si>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</si>
  <si>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</si>
  <si>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</si>
  <si>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</si>
  <si>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</si>
  <si>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</si>
  <si>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</si>
  <si>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</si>
  <si>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</si>
  <si>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</si>
  <si>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</si>
  <si>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</si>
  <si>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</si>
  <si>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</si>
  <si>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</si>
  <si>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</si>
  <si>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</si>
  <si>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</si>
  <si>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</si>
  <si>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</si>
  <si>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</si>
  <si>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</si>
  <si>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</si>
  <si>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</si>
  <si>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</si>
  <si>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</si>
  <si>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</si>
  <si>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</si>
  <si>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</si>
  <si>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</si>
  <si>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</si>
  <si>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</si>
  <si>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</si>
  <si>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</si>
  <si>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</si>
  <si>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</si>
  <si>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</si>
  <si>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</si>
  <si>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</si>
  <si>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</si>
  <si>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</si>
  <si>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</si>
  <si>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</si>
  <si>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</si>
  <si>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</si>
  <si>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</si>
  <si>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</si>
  <si>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</si>
  <si>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</si>
  <si>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</si>
  <si>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</si>
  <si>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</si>
  <si>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</si>
  <si>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</si>
  <si>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</si>
  <si>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</si>
  <si>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</si>
  <si>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</si>
  <si>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</si>
  <si>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</si>
  <si>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</si>
  <si>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</si>
  <si>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</si>
  <si>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</si>
  <si>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</si>
  <si>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</si>
  <si>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</si>
  <si>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</si>
  <si>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</si>
  <si>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</si>
  <si>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</si>
  <si>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</si>
  <si>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</si>
  <si>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</si>
  <si>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</si>
  <si>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</si>
  <si>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</si>
  <si>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</si>
  <si>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</si>
  <si>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</si>
  <si>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</si>
  <si>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</si>
  <si>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</si>
  <si>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</si>
  <si>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</si>
  <si>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</si>
  <si>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</si>
  <si>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</si>
  <si>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</si>
  <si>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</si>
  <si>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</si>
  <si>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</si>
  <si>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</si>
  <si>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</si>
  <si>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</si>
  <si>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</si>
  <si>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</si>
  <si>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</si>
  <si>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</si>
  <si>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</si>
  <si>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</si>
  <si>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</si>
  <si>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</si>
  <si>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</si>
  <si>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</si>
  <si>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</si>
  <si>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</si>
  <si>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</si>
  <si>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</si>
  <si>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</si>
  <si>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</si>
  <si>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</si>
  <si>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</si>
  <si>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</si>
  <si>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</si>
  <si>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</si>
  <si>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</si>
  <si>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</si>
  <si>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</si>
  <si>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</si>
  <si>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</si>
  <si>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</si>
  <si>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</si>
  <si>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</si>
  <si>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</si>
  <si>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</si>
  <si>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</si>
  <si>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</si>
  <si>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</si>
  <si>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</si>
  <si>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</si>
  <si>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</si>
  <si>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</si>
  <si>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</si>
  <si>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</si>
  <si>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</si>
  <si>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</si>
  <si>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</si>
  <si>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</si>
  <si>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</si>
  <si>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</si>
  <si>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</si>
  <si>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</si>
  <si>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</si>
  <si>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</si>
  <si>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</si>
  <si>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</si>
  <si>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</si>
  <si>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</si>
  <si>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</si>
  <si>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</si>
  <si>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</si>
  <si>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</si>
  <si>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</si>
  <si>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</si>
  <si>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</si>
  <si>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</si>
  <si>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</si>
  <si>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</si>
  <si>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</si>
  <si>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</si>
  <si>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</si>
  <si>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</si>
  <si>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</si>
  <si>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</si>
  <si>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</si>
  <si>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</si>
  <si>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</si>
  <si>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</si>
  <si>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</si>
  <si>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</si>
  <si>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</si>
  <si>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</si>
  <si>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</si>
  <si>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</si>
  <si>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</si>
  <si>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</si>
  <si>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</si>
  <si>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</si>
  <si>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</si>
  <si>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</si>
  <si>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</si>
  <si>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</si>
  <si>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</si>
  <si>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</si>
  <si>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</si>
  <si>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</si>
  <si>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</si>
  <si>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</si>
  <si>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</si>
  <si>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</si>
  <si>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</si>
  <si>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</si>
  <si>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</si>
  <si>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</si>
  <si>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</si>
  <si>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</si>
  <si>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</si>
  <si>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</si>
  <si>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</si>
  <si>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</si>
  <si>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</si>
  <si>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</si>
  <si>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</si>
  <si>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</si>
  <si>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</si>
  <si>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</si>
  <si>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</si>
  <si>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</si>
  <si>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</si>
  <si>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</si>
  <si>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</si>
  <si>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</si>
  <si>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</si>
  <si>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</si>
  <si>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</si>
  <si>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</si>
  <si>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</si>
  <si>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</si>
  <si>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</si>
  <si>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</si>
  <si>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</si>
  <si>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</si>
  <si>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</si>
  <si>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</si>
  <si>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</si>
  <si>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</si>
  <si>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</si>
  <si>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</si>
  <si>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</si>
  <si>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</si>
  <si>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</si>
  <si>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</si>
  <si>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</si>
  <si>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</si>
  <si>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</si>
  <si>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</si>
  <si>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</si>
  <si>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</si>
  <si>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</si>
  <si>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</si>
  <si>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</si>
  <si>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</si>
  <si>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</si>
  <si>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</si>
  <si>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</si>
  <si>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</si>
  <si>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</si>
  <si>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</si>
  <si>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</si>
  <si>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</si>
  <si>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</si>
  <si>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</si>
  <si>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</si>
  <si>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</si>
  <si>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</si>
  <si>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</si>
  <si>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</si>
  <si>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</si>
  <si>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</si>
  <si>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</si>
  <si>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</si>
  <si>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</si>
  <si>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</si>
  <si>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</si>
  <si>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</si>
  <si>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</si>
  <si>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</si>
  <si>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</si>
  <si>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</si>
  <si>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</si>
  <si>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</si>
  <si>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</si>
  <si>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</si>
  <si>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</si>
  <si>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</si>
  <si>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</si>
  <si>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</si>
  <si>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</si>
  <si>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</si>
  <si>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</si>
  <si>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</si>
  <si>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</si>
  <si>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</si>
  <si>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</si>
  <si>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</si>
  <si>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</si>
  <si>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</si>
  <si>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</si>
  <si>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</si>
  <si>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</si>
  <si>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</si>
  <si>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</si>
  <si>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</si>
  <si>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</si>
  <si>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</si>
  <si>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</si>
  <si>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</si>
  <si>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</si>
  <si>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</si>
  <si>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</si>
  <si>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</si>
  <si>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</si>
  <si>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</si>
  <si>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</si>
  <si>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</si>
  <si>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</si>
  <si>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</si>
  <si>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</si>
  <si>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</si>
  <si>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</si>
  <si>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</si>
  <si>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</si>
  <si>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</si>
  <si>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</si>
  <si>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</si>
  <si>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</si>
  <si>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</si>
  <si>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</si>
  <si>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</si>
  <si>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</si>
  <si>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</si>
  <si>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</si>
  <si>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</si>
  <si>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</si>
  <si>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</si>
  <si>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</si>
  <si>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</si>
  <si>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</si>
  <si>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</si>
  <si>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</si>
  <si>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</si>
  <si>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</si>
  <si>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</si>
  <si>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</si>
  <si>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</si>
  <si>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</si>
  <si>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</si>
  <si>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</si>
  <si>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</si>
  <si>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</si>
  <si>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</si>
  <si>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</si>
  <si>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</si>
  <si>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</si>
  <si>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</si>
  <si>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</si>
  <si>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</si>
  <si>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</si>
  <si>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</si>
  <si>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</si>
  <si>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</si>
  <si>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</si>
  <si>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</si>
  <si>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</si>
  <si>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</si>
  <si>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</si>
  <si>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</si>
  <si>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</si>
  <si>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</si>
  <si>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</si>
  <si>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</si>
  <si>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</si>
  <si>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</si>
  <si>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</si>
  <si>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</si>
  <si>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</si>
  <si>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</si>
  <si>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</si>
  <si>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</si>
  <si>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</si>
  <si>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</si>
  <si>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</si>
  <si>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</si>
  <si>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</si>
  <si>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</si>
  <si>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</si>
  <si>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</si>
  <si>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</si>
  <si>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</si>
  <si>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</si>
  <si>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</si>
  <si>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</si>
  <si>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</si>
  <si>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</si>
  <si>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</si>
  <si>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</si>
  <si>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</si>
  <si>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</si>
  <si>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</si>
  <si>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</si>
  <si>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</si>
  <si>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</si>
  <si>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</si>
  <si>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</si>
  <si>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</si>
  <si>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</si>
  <si>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</si>
  <si>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</si>
  <si>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</si>
  <si>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</si>
  <si>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</si>
  <si>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</si>
  <si>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</si>
  <si>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</si>
  <si>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</si>
  <si>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</si>
  <si>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</si>
  <si>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</si>
  <si>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</si>
  <si>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</si>
  <si>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</si>
  <si>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</si>
  <si>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</si>
  <si>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</si>
  <si>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</si>
  <si>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</si>
  <si>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</si>
  <si>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</si>
  <si>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</si>
  <si>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</si>
  <si>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</si>
  <si>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</si>
  <si>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</si>
  <si>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</si>
  <si>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</si>
  <si>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</si>
  <si>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</si>
  <si>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</si>
  <si>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</si>
  <si>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</si>
  <si>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</si>
  <si>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</si>
  <si>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</si>
  <si>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</si>
  <si>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</si>
  <si>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</si>
  <si>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</si>
  <si>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</si>
  <si>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</si>
  <si>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</si>
  <si>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</si>
  <si>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</si>
  <si>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</si>
  <si>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</si>
  <si>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</si>
  <si>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</si>
  <si>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</si>
  <si>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</si>
  <si>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</si>
  <si>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</si>
  <si>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</si>
  <si>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</si>
  <si>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</si>
  <si>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</si>
  <si>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</si>
  <si>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</si>
  <si>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</si>
  <si>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</si>
  <si>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</si>
  <si>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</si>
  <si>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</si>
  <si>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</si>
  <si>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</si>
  <si>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</si>
  <si>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</si>
  <si>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</si>
  <si>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</si>
  <si>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</si>
  <si>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</si>
  <si>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</si>
  <si>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</si>
  <si>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</si>
  <si>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</si>
  <si>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</si>
  <si>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</si>
  <si>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</si>
  <si>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</si>
  <si>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</si>
  <si>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</si>
  <si>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</si>
  <si>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</si>
  <si>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</si>
  <si>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</si>
  <si>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</si>
  <si>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</si>
  <si>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</si>
  <si>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</si>
  <si>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</si>
  <si>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</si>
  <si>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</si>
  <si>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</si>
  <si>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</si>
  <si>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</si>
  <si>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</si>
  <si>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</si>
  <si>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</si>
  <si>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</si>
  <si>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</si>
  <si>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</si>
  <si>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</si>
  <si>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</si>
  <si>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</si>
  <si>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</si>
  <si>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</si>
  <si>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</si>
  <si>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</si>
  <si>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</si>
  <si>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</si>
  <si>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</si>
  <si>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</si>
  <si>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</si>
  <si>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</si>
  <si>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</si>
  <si>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</si>
  <si>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</si>
  <si>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</si>
  <si>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</si>
  <si>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</si>
  <si>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</si>
  <si>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</si>
  <si>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</si>
  <si>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</si>
  <si>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</si>
  <si>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</si>
  <si>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</si>
  <si>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</si>
  <si>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</si>
  <si>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</si>
  <si>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</si>
  <si>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</si>
  <si>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</si>
  <si>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</si>
  <si>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</si>
  <si>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</si>
  <si>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</si>
  <si>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</si>
  <si>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</si>
  <si>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</si>
  <si>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</si>
  <si>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</si>
  <si>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</si>
  <si>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</si>
  <si>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</si>
  <si>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</si>
  <si>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</si>
  <si>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</si>
  <si>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</si>
  <si>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</si>
  <si>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</si>
  <si>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</si>
  <si>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</si>
  <si>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</si>
  <si>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</si>
  <si>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</si>
  <si>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</si>
  <si>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</si>
  <si>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</si>
  <si>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</si>
  <si>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</si>
  <si>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</si>
  <si>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</si>
  <si>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</si>
  <si>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</si>
  <si>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</si>
  <si>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</si>
  <si>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</si>
  <si>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</si>
  <si>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</si>
  <si>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</si>
  <si>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</si>
  <si>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</si>
  <si>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</si>
  <si>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</si>
  <si>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</si>
  <si>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</si>
  <si>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</si>
  <si>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</si>
  <si>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</si>
  <si>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</si>
  <si>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</si>
  <si>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</si>
  <si>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</si>
  <si>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</si>
  <si>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</si>
  <si>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</si>
  <si>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</si>
  <si>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</si>
  <si>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</si>
  <si>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</si>
  <si>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</si>
  <si>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</si>
  <si>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</si>
  <si>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</si>
  <si>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</si>
  <si>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</si>
  <si>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</si>
  <si>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</si>
  <si>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</si>
  <si>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</si>
  <si>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</si>
  <si>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</si>
  <si>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</si>
  <si>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</si>
  <si>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</si>
  <si>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</si>
  <si>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</si>
  <si>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</si>
  <si>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</si>
  <si>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</si>
  <si>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</si>
  <si>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</si>
  <si>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</si>
  <si>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</si>
  <si>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</si>
  <si>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</si>
  <si>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</si>
  <si>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</si>
  <si>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</si>
  <si>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</si>
  <si>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</si>
  <si>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</si>
  <si>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</si>
  <si>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</si>
  <si>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</si>
  <si>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</si>
  <si>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</si>
  <si>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</si>
  <si>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</si>
  <si>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</si>
  <si>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</si>
  <si>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</si>
  <si>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</si>
  <si>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</si>
  <si>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</si>
  <si>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</si>
  <si>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</si>
  <si>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</si>
  <si>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</si>
  <si>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</si>
  <si>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</si>
  <si>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</si>
  <si>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</si>
  <si>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</si>
  <si>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</si>
  <si>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</si>
  <si>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</si>
  <si>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</si>
  <si>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</si>
  <si>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</si>
  <si>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</si>
  <si>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</si>
  <si>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</si>
  <si>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</si>
  <si>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</si>
  <si>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</si>
  <si>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</si>
  <si>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</si>
  <si>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</si>
  <si>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</si>
  <si>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</si>
  <si>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</si>
  <si>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</si>
  <si>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</si>
  <si>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</si>
  <si>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</si>
  <si>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</si>
  <si>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</si>
  <si>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</si>
  <si>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</si>
  <si>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</si>
  <si>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</si>
  <si>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</si>
  <si>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</si>
  <si>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</si>
  <si>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</si>
  <si>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</si>
  <si>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</si>
  <si>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</si>
  <si>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</si>
  <si>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</si>
  <si>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</si>
  <si>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</si>
  <si>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</si>
  <si>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</si>
  <si>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</si>
  <si>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</si>
  <si>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</si>
  <si>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</si>
  <si>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</si>
  <si>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</si>
  <si>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</si>
  <si>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</si>
  <si>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</si>
  <si>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</si>
  <si>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</si>
  <si>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</si>
  <si>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</si>
  <si>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</si>
  <si>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</si>
  <si>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</si>
  <si>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</si>
  <si>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</si>
  <si>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</si>
  <si>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</si>
  <si>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</si>
  <si>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</si>
  <si>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</si>
  <si>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</si>
  <si>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</si>
  <si>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</si>
  <si>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</si>
  <si>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</si>
  <si>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</si>
  <si>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</si>
  <si>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</si>
  <si>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</si>
  <si>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</si>
  <si>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</si>
  <si>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</si>
  <si>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</si>
  <si>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</si>
  <si>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</si>
  <si>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</si>
  <si>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</si>
  <si>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</si>
  <si>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</si>
  <si>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</si>
  <si>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</si>
  <si>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</si>
  <si>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</si>
  <si>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</si>
  <si>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</si>
  <si>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</si>
  <si>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</si>
  <si>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</si>
  <si>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</si>
  <si>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</si>
  <si>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</si>
  <si>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</si>
  <si>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</si>
  <si>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</si>
  <si>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</si>
  <si>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</si>
  <si>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</si>
  <si>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</si>
  <si>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</si>
  <si>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</si>
  <si>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</si>
  <si>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</si>
  <si>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</si>
  <si>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</si>
  <si>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</si>
  <si>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</si>
  <si>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</si>
  <si>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</si>
  <si>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</si>
  <si>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</si>
  <si>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</si>
  <si>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</si>
  <si>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</si>
  <si>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</si>
  <si>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</si>
  <si>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</si>
  <si>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</si>
  <si>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</si>
  <si>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</si>
  <si>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</si>
  <si>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</si>
  <si>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</si>
  <si>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</si>
  <si>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</si>
  <si>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</si>
  <si>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</si>
  <si>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</si>
  <si>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</si>
  <si>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</si>
  <si>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</si>
  <si>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</si>
  <si>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</si>
  <si>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</si>
  <si>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</si>
  <si>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</si>
  <si>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</si>
  <si>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</si>
  <si>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</si>
  <si>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</si>
  <si>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</si>
  <si>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</si>
  <si>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</si>
  <si>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</si>
  <si>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</si>
  <si>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</si>
  <si>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</si>
  <si>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</si>
  <si>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</si>
  <si>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</si>
  <si>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</si>
  <si>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</si>
  <si>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</si>
  <si>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</si>
  <si>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</si>
  <si>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</si>
  <si>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</si>
  <si>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</si>
  <si>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</si>
  <si>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</si>
  <si>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</si>
  <si>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</si>
  <si>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</si>
  <si>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</si>
  <si>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</si>
  <si>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</si>
  <si>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</si>
  <si>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</si>
  <si>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</si>
  <si>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</si>
  <si>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</si>
  <si>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</si>
  <si>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</si>
  <si>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</si>
  <si>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</si>
  <si>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</si>
  <si>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</si>
  <si>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</si>
  <si>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</si>
  <si>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</si>
  <si>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</si>
  <si>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</si>
  <si>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</si>
  <si>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</si>
  <si>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</si>
  <si>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</si>
  <si>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</si>
  <si>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</si>
  <si>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</si>
  <si>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</si>
  <si>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</si>
  <si>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</si>
  <si>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</si>
  <si>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</si>
  <si>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</si>
  <si>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</si>
  <si>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</si>
  <si>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</si>
  <si>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</si>
  <si>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</si>
  <si>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</si>
  <si>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</si>
  <si>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</si>
  <si>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</si>
  <si>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</si>
  <si>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</si>
  <si>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</si>
  <si>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</si>
  <si>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</si>
  <si>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</si>
  <si>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</si>
  <si>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</si>
  <si>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</si>
  <si>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</si>
  <si>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</si>
  <si>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</si>
  <si>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</si>
  <si>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</si>
  <si>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</si>
  <si>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</si>
  <si>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</si>
  <si>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</si>
  <si>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</si>
  <si>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</si>
  <si>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</si>
  <si>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</si>
  <si>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</si>
  <si>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</si>
  <si>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</si>
  <si>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</si>
  <si>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</si>
  <si>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</si>
  <si>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</si>
  <si>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</si>
  <si>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</si>
  <si>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</si>
  <si>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</si>
  <si>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</si>
  <si>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</si>
  <si>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</si>
  <si>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</si>
  <si>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</si>
  <si>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</si>
  <si>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</si>
  <si>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</si>
  <si>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</si>
  <si>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</si>
  <si>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</si>
  <si>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</si>
  <si>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</si>
  <si>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</si>
  <si>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</si>
  <si>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</si>
  <si>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</si>
  <si>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</si>
  <si>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</si>
  <si>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</si>
  <si>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</si>
  <si>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</si>
  <si>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</si>
  <si>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</si>
  <si>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</si>
  <si>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</si>
  <si>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</si>
  <si>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</si>
  <si>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</si>
  <si>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</si>
  <si>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</si>
  <si>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</si>
  <si>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</si>
  <si>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</si>
  <si>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</si>
  <si>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</si>
  <si>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</si>
  <si>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</si>
  <si>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</si>
  <si>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</si>
  <si>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</si>
  <si>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</si>
  <si>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</si>
  <si>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</si>
  <si>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</si>
  <si>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</si>
  <si>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</si>
  <si>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</si>
  <si>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</si>
  <si>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</si>
  <si>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</si>
  <si>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</si>
  <si>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</si>
  <si>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</si>
  <si>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</si>
  <si>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</si>
  <si>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</si>
  <si>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</si>
  <si>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</si>
  <si>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</si>
  <si>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</si>
  <si>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</si>
  <si>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</si>
  <si>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</si>
  <si>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</si>
  <si>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</si>
  <si>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</si>
  <si>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</si>
  <si>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</si>
  <si>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</si>
  <si>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</si>
  <si>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</si>
  <si>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</si>
  <si>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</si>
  <si>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</si>
  <si>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</si>
  <si>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</si>
  <si>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</si>
  <si>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</si>
  <si>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</si>
  <si>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</si>
  <si>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</si>
  <si>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</si>
  <si>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</si>
  <si>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</si>
  <si>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</si>
  <si>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</si>
  <si>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</si>
  <si>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</si>
  <si>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</si>
  <si>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</si>
  <si>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</si>
  <si>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</si>
  <si>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</si>
  <si>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</si>
  <si>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</si>
  <si>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</si>
  <si>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</si>
  <si>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</si>
  <si>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</si>
  <si>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</si>
  <si>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</si>
  <si>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</si>
  <si>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</si>
  <si>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</si>
  <si>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</si>
  <si>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</si>
  <si>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</si>
  <si>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</si>
  <si>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</si>
  <si>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</si>
  <si>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</si>
  <si>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</si>
  <si>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</si>
  <si>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</si>
  <si>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</si>
  <si>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</si>
  <si>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</si>
  <si>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</si>
  <si>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</si>
  <si>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</si>
  <si>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</si>
  <si>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</si>
  <si>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</si>
  <si>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</si>
  <si>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</si>
  <si>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</si>
  <si>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</si>
  <si>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</si>
  <si>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</si>
  <si>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</si>
  <si>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</si>
  <si>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</si>
  <si>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</si>
  <si>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</si>
  <si>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</si>
  <si>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</si>
  <si>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</si>
  <si>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</si>
  <si>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</si>
  <si>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</si>
  <si>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</si>
  <si>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</si>
  <si>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</si>
  <si>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</si>
  <si>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</si>
  <si>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</si>
  <si>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</si>
  <si>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</si>
  <si>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</si>
  <si>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</si>
  <si>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</si>
  <si>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</si>
  <si>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</si>
  <si>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</si>
  <si>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</si>
  <si>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</si>
  <si>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</si>
  <si>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</si>
  <si>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</si>
  <si>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</si>
  <si>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</si>
  <si>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</si>
  <si>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</si>
  <si>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</si>
  <si>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</si>
  <si>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</si>
  <si>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</si>
  <si>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</si>
  <si>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</si>
  <si>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</si>
  <si>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</si>
  <si>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</si>
  <si>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</si>
  <si>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</si>
  <si>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</si>
  <si>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</si>
  <si>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</si>
  <si>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</si>
  <si>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</si>
  <si>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</si>
  <si>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</si>
  <si>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</si>
  <si>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</si>
  <si>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</si>
  <si>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</si>
  <si>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</si>
  <si>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</si>
  <si>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</si>
  <si>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</si>
  <si>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</si>
  <si>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</si>
  <si>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</si>
  <si>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</si>
  <si>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</si>
  <si>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</si>
  <si>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</si>
  <si>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</si>
  <si>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</si>
  <si>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</si>
  <si>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</si>
  <si>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</si>
  <si>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</si>
  <si>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</si>
  <si>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</si>
  <si>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</si>
  <si>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</si>
  <si>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</si>
  <si>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</si>
  <si>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</si>
  <si>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</si>
  <si>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</si>
  <si>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</si>
  <si>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</si>
  <si>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</si>
  <si>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</si>
  <si>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</si>
  <si>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</si>
  <si>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</si>
  <si>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</si>
  <si>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</si>
  <si>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</si>
  <si>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</si>
  <si>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</si>
  <si>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</si>
  <si>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</si>
  <si>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</si>
  <si>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</si>
  <si>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</si>
  <si>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</si>
  <si>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</si>
  <si>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</si>
  <si>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</si>
  <si>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</si>
  <si>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</si>
  <si>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</si>
  <si>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</si>
  <si>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</si>
  <si>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</si>
  <si>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</si>
  <si>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</si>
  <si>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</si>
  <si>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</si>
  <si>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</si>
  <si>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</si>
  <si>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</si>
  <si>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</si>
  <si>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</si>
  <si>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</si>
  <si>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</si>
  <si>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</si>
  <si>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</si>
  <si>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</si>
  <si>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</si>
  <si>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</si>
  <si>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</si>
  <si>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</si>
  <si>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</si>
  <si>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</si>
  <si>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</si>
  <si>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</si>
  <si>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</si>
  <si>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</si>
  <si>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</si>
  <si>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</si>
  <si>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</si>
  <si>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</si>
  <si>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</si>
  <si>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</si>
  <si>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</si>
  <si>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</si>
  <si>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</si>
  <si>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</si>
  <si>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</si>
  <si>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</si>
  <si>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</si>
  <si>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</si>
  <si>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</si>
  <si>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</si>
  <si>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</si>
  <si>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</si>
  <si>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</si>
  <si>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</si>
  <si>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</si>
  <si>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</si>
  <si>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</si>
  <si>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</si>
  <si>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</si>
  <si>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</si>
  <si>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</si>
  <si>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</si>
  <si>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</si>
  <si>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</si>
  <si>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</si>
  <si>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</si>
  <si>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</si>
  <si>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</si>
  <si>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</si>
  <si>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</si>
  <si>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</si>
  <si>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</si>
  <si>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</si>
  <si>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</si>
  <si>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</si>
  <si>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</si>
  <si>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</si>
  <si>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</si>
  <si>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</si>
  <si>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</si>
  <si>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</si>
  <si>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</si>
  <si>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</si>
  <si>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</si>
  <si>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</si>
  <si>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</si>
  <si>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</si>
  <si>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</si>
  <si>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</si>
  <si>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</si>
  <si>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</si>
  <si>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</si>
  <si>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</si>
  <si>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</si>
  <si>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</si>
  <si>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</si>
  <si>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</si>
  <si>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</si>
  <si>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</si>
  <si>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</si>
  <si>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</si>
  <si>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</si>
  <si>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</si>
  <si>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</si>
  <si>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</si>
  <si>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</si>
  <si>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</si>
  <si>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</si>
  <si>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</si>
  <si>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</si>
  <si>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</si>
  <si>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</si>
  <si>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</si>
  <si>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</si>
  <si>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</si>
  <si>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</si>
  <si>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</si>
  <si>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</si>
  <si>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</si>
  <si>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</si>
  <si>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</si>
  <si>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</si>
  <si>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</si>
  <si>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</si>
  <si>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</si>
  <si>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</si>
  <si>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</si>
  <si>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</si>
  <si>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</si>
  <si>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</si>
  <si>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</si>
  <si>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</si>
  <si>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</si>
  <si>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</si>
  <si>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</si>
  <si>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</si>
  <si>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</si>
  <si>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</si>
  <si>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</si>
  <si>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</si>
  <si>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</si>
  <si>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</si>
  <si>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</si>
  <si>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</si>
  <si>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</si>
  <si>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</si>
  <si>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</si>
  <si>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</si>
  <si>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</si>
  <si>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</si>
  <si>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</si>
  <si>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</si>
  <si>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</si>
  <si>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</si>
  <si>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</si>
  <si>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</si>
  <si>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</si>
  <si>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</si>
  <si>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</si>
  <si>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</si>
  <si>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</si>
  <si>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</si>
  <si>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</si>
  <si>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</si>
  <si>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</si>
  <si>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</si>
  <si>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</si>
  <si>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</si>
  <si>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</si>
  <si>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</si>
  <si>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</si>
  <si>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</si>
  <si>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</si>
  <si>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</si>
  <si>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</si>
  <si>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</si>
  <si>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</si>
  <si>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</si>
  <si>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</si>
  <si>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</si>
  <si>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</si>
  <si>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</si>
  <si>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</si>
  <si>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</si>
  <si>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</si>
  <si>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</si>
  <si>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</si>
  <si>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</si>
  <si>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</si>
  <si>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</si>
  <si>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</si>
  <si>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</si>
  <si>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</si>
  <si>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</si>
  <si>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</si>
  <si>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</si>
  <si>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</si>
  <si>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</si>
  <si>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</si>
  <si>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</si>
  <si>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</si>
  <si>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</si>
  <si>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</si>
  <si>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</si>
  <si>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</si>
  <si>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</si>
  <si>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</si>
  <si>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</si>
  <si>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</si>
  <si>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</si>
  <si>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</si>
  <si>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</si>
  <si>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</si>
  <si>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</si>
  <si>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</si>
  <si>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</si>
  <si>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</si>
  <si>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</si>
  <si>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</si>
  <si>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</si>
  <si>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</si>
  <si>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</si>
  <si>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</si>
  <si>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</si>
  <si>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</si>
  <si>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</si>
  <si>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</si>
  <si>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</si>
  <si>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</si>
  <si>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</si>
  <si>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</si>
  <si>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</si>
  <si>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</si>
  <si>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</si>
  <si>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</si>
  <si>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</si>
  <si>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</si>
  <si>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</si>
  <si>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</si>
  <si>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</si>
  <si>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</si>
  <si>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</si>
  <si>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</si>
  <si>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</si>
  <si>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</si>
  <si>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</si>
  <si>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</si>
  <si>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</si>
  <si>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</si>
  <si>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</si>
  <si>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</si>
  <si>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</si>
  <si>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</si>
  <si>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</si>
  <si>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</si>
  <si>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</si>
  <si>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</si>
  <si>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</si>
  <si>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</si>
  <si>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</si>
  <si>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</si>
  <si>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</si>
  <si>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</si>
  <si>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</si>
  <si>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</si>
  <si>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</si>
  <si>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</si>
  <si>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</si>
  <si>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</si>
  <si>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</si>
  <si>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</si>
  <si>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</si>
  <si>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</si>
  <si>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</si>
  <si>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</si>
  <si>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</si>
  <si>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</si>
  <si>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</si>
  <si>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</si>
  <si>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</si>
  <si>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</si>
  <si>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</si>
  <si>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</si>
  <si>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</si>
  <si>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</si>
  <si>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</si>
  <si>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</si>
  <si>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</si>
  <si>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</si>
  <si>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</si>
  <si>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</si>
  <si>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</si>
  <si>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</si>
  <si>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</si>
  <si>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</si>
  <si>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</si>
  <si>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</si>
  <si>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</si>
  <si>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</si>
  <si>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</si>
  <si>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</si>
  <si>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</si>
  <si>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</si>
  <si>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</si>
  <si>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</si>
  <si>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</si>
  <si>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</si>
  <si>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</si>
  <si>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</si>
  <si>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</si>
  <si>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</si>
  <si>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</si>
  <si>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</si>
  <si>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</si>
  <si>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</si>
  <si>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</si>
  <si>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</si>
  <si>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</si>
  <si>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</si>
  <si>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</si>
  <si>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</si>
  <si>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</si>
  <si>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</si>
  <si>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</si>
  <si>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</si>
  <si>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</si>
  <si>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</si>
  <si>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</si>
  <si>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</si>
  <si>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</si>
  <si>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</si>
  <si>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</si>
  <si>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</si>
  <si>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</si>
  <si>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</si>
  <si>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</si>
  <si>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</si>
  <si>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</si>
  <si>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</si>
  <si>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</si>
  <si>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</si>
  <si>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</si>
  <si>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</si>
  <si>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</si>
  <si>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</si>
  <si>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</si>
  <si>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</si>
  <si>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</si>
  <si>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</si>
  <si>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</si>
  <si>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</si>
  <si>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</si>
  <si>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</si>
  <si>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</si>
  <si>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</si>
  <si>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</si>
  <si>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</si>
  <si>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</si>
  <si>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</si>
  <si>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</si>
  <si>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</si>
  <si>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</si>
  <si>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</si>
  <si>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</si>
  <si>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</si>
  <si>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</si>
  <si>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</si>
  <si>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</si>
  <si>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</si>
  <si>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</si>
  <si>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</si>
  <si>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</si>
  <si>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</si>
  <si>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</si>
  <si>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</si>
  <si>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</si>
  <si>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</si>
  <si>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</si>
  <si>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</si>
  <si>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</si>
  <si>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</si>
  <si>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</si>
  <si>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</si>
  <si>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</si>
  <si>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</si>
  <si>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</si>
  <si>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</si>
  <si>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</si>
  <si>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</si>
  <si>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</si>
  <si>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</si>
  <si>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</si>
  <si>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</si>
  <si>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</si>
  <si>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</si>
  <si>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</si>
  <si>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</si>
  <si>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</si>
  <si>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</si>
  <si>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</si>
  <si>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</si>
  <si>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</si>
  <si>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</si>
  <si>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</si>
  <si>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</si>
  <si>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</si>
  <si>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</si>
  <si>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</si>
  <si>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</si>
  <si>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</si>
  <si>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</si>
  <si>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</si>
  <si>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</si>
  <si>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</si>
  <si>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</si>
  <si>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</si>
  <si>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</si>
  <si>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</si>
  <si>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</si>
  <si>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</si>
  <si>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</si>
  <si>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</si>
  <si>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</si>
  <si>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</si>
  <si>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</si>
  <si>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</si>
  <si>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</si>
  <si>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</si>
  <si>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</si>
  <si>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</si>
  <si>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</si>
  <si>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</si>
  <si>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</si>
  <si>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</si>
  <si>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</si>
  <si>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</si>
  <si>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</si>
  <si>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</si>
  <si>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</si>
  <si>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</si>
  <si>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</si>
  <si>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</si>
  <si>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</si>
  <si>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</si>
  <si>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</si>
  <si>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</si>
  <si>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</si>
  <si>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</si>
  <si>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</si>
  <si>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</si>
  <si>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</si>
  <si>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</si>
  <si>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</si>
  <si>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</si>
  <si>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</si>
  <si>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</si>
  <si>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</si>
  <si>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</si>
  <si>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</si>
  <si>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</si>
  <si>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</si>
  <si>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</si>
  <si>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</si>
  <si>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</si>
  <si>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</si>
  <si>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</si>
  <si>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</si>
  <si>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</si>
  <si>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</si>
  <si>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</si>
  <si>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</si>
  <si>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</si>
  <si>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</si>
  <si>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</si>
  <si>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</si>
  <si>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</si>
  <si>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</si>
  <si>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</si>
  <si>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</si>
  <si>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</si>
  <si>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</si>
  <si>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</si>
  <si>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</si>
  <si>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</si>
  <si>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</si>
  <si>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</si>
  <si>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</si>
  <si>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</si>
  <si>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</si>
  <si>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</si>
  <si>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</si>
  <si>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</si>
  <si>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</si>
  <si>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</si>
  <si>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</si>
  <si>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</si>
  <si>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</si>
  <si>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</si>
  <si>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</si>
  <si>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</si>
  <si>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</si>
  <si>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</si>
  <si>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</si>
  <si>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</si>
  <si>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</si>
  <si>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</si>
  <si>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</si>
  <si>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</si>
  <si>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</si>
  <si>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</si>
  <si>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</si>
  <si>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</si>
  <si>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</si>
  <si>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</si>
  <si>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</si>
  <si>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</si>
  <si>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</si>
  <si>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</si>
  <si>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</si>
  <si>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</si>
  <si>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</si>
  <si>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</si>
  <si>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</si>
  <si>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</si>
  <si>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</si>
  <si>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</si>
  <si>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</si>
  <si>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</si>
  <si>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</si>
  <si>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</si>
  <si>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</si>
  <si>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</si>
  <si>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</si>
  <si>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</si>
  <si>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</si>
  <si>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</si>
  <si>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</si>
  <si>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</si>
  <si>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</si>
  <si>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</si>
  <si>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</si>
  <si>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</si>
  <si>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</si>
  <si>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</si>
  <si>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</si>
  <si>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</si>
  <si>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</si>
  <si>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</si>
  <si>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</si>
  <si>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</si>
  <si>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</si>
  <si>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</si>
  <si>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</si>
  <si>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</si>
  <si>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</si>
  <si>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</si>
  <si>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</si>
  <si>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</si>
  <si>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</si>
  <si>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</si>
  <si>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</si>
  <si>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</si>
  <si>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</si>
  <si>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</si>
  <si>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</si>
  <si>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</si>
  <si>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</si>
  <si>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</si>
  <si>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</si>
  <si>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</si>
  <si>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</si>
  <si>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</si>
  <si>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</si>
  <si>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</si>
  <si>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</si>
  <si>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</si>
  <si>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</si>
  <si>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</si>
  <si>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</si>
  <si>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</si>
  <si>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</si>
  <si>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</si>
  <si>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</si>
  <si>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</si>
  <si>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</si>
  <si>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</si>
  <si>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</si>
  <si>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</si>
  <si>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</si>
  <si>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</si>
  <si>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</si>
  <si>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</si>
  <si>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</si>
  <si>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</si>
  <si>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</si>
  <si>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</si>
  <si>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</si>
  <si>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</si>
  <si>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</si>
  <si>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</si>
  <si>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</si>
  <si>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</si>
  <si>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</si>
  <si>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</si>
  <si>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</si>
  <si>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</si>
  <si>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</si>
  <si>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</si>
  <si>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</si>
  <si>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</si>
  <si>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</si>
  <si>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</si>
  <si>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</si>
  <si>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</si>
  <si>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</si>
  <si>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</si>
  <si>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</si>
  <si>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</si>
  <si>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</si>
  <si>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</si>
  <si>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</si>
  <si>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</si>
  <si>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</si>
  <si>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</si>
  <si>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</si>
  <si>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</si>
  <si>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</si>
  <si>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</si>
  <si>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</si>
  <si>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</si>
  <si>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</si>
  <si>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</si>
  <si>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</si>
  <si>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</si>
  <si>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</si>
  <si>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</si>
  <si>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</si>
  <si>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</si>
  <si>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</si>
  <si>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</si>
  <si>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</si>
  <si>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</si>
  <si>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</si>
  <si>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</si>
  <si>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</si>
  <si>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</si>
  <si>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</si>
  <si>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</si>
  <si>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</si>
  <si>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</si>
  <si>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</si>
  <si>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</si>
  <si>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</si>
  <si>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</si>
  <si>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</si>
  <si>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</si>
  <si>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</si>
  <si>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</si>
  <si>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</si>
  <si>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</si>
  <si>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</si>
  <si>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</si>
  <si>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</si>
  <si>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</si>
  <si>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</si>
  <si>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</si>
  <si>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</si>
  <si>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</si>
  <si>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</si>
  <si>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</si>
  <si>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</si>
  <si>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</si>
  <si>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</si>
  <si>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</si>
  <si>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</si>
  <si>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</si>
  <si>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</si>
  <si>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</si>
  <si>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</si>
  <si>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</si>
  <si>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</si>
  <si>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</si>
  <si>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</si>
  <si>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</si>
  <si>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</si>
  <si>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</si>
  <si>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</si>
  <si>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</si>
  <si>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</si>
  <si>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</si>
  <si>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</si>
  <si>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</si>
  <si>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</si>
  <si>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</si>
  <si>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</si>
  <si>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</si>
  <si>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</si>
  <si>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</si>
  <si>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</si>
  <si>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</si>
  <si>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</si>
  <si>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</si>
  <si>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</si>
  <si>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</si>
  <si>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</si>
  <si>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</si>
  <si>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</si>
  <si>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</si>
  <si>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</si>
  <si>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</si>
  <si>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</si>
  <si>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</si>
  <si>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</si>
  <si>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</si>
  <si>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</si>
  <si>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</si>
  <si>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</si>
  <si>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</si>
  <si>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</si>
  <si>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</si>
  <si>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</si>
  <si>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</si>
  <si>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</si>
  <si>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</si>
  <si>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</si>
  <si>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</si>
  <si>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</si>
  <si>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</si>
  <si>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</si>
  <si>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</si>
  <si>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</si>
  <si>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</si>
  <si>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</si>
  <si>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</si>
  <si>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</si>
  <si>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</si>
  <si>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</si>
  <si>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</si>
  <si>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</si>
  <si>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</si>
  <si>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</si>
  <si>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</si>
  <si>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</si>
  <si>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</si>
  <si>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</si>
  <si>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</si>
  <si>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</si>
  <si>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</si>
  <si>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</si>
  <si>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</si>
  <si>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</si>
  <si>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</si>
  <si>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</si>
  <si>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</si>
  <si>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</si>
  <si>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</si>
  <si>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</si>
  <si>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</si>
  <si>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</si>
  <si>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</si>
  <si>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</si>
  <si>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</si>
  <si>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</si>
  <si>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</si>
  <si>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</si>
  <si>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</si>
  <si>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</si>
  <si>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</si>
  <si>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</si>
  <si>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</si>
  <si>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</si>
  <si>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</si>
  <si>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</si>
  <si>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</si>
  <si>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</si>
  <si>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</si>
  <si>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</si>
  <si>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</si>
  <si>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</si>
  <si>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</si>
  <si>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</si>
  <si>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</si>
  <si>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</si>
  <si>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</si>
  <si>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</si>
  <si>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</si>
  <si>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</si>
  <si>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</si>
  <si>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</si>
  <si>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</si>
  <si>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</si>
  <si>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</si>
  <si>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</si>
  <si>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</si>
  <si>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</si>
  <si>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</si>
  <si>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</si>
  <si>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</si>
  <si>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</si>
  <si>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</si>
  <si>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</si>
  <si>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</si>
  <si>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</si>
  <si>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</si>
  <si>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</si>
  <si>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</si>
  <si>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</si>
  <si>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</si>
  <si>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</si>
  <si>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</si>
  <si>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</si>
  <si>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</si>
  <si>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</si>
  <si>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</si>
  <si>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</si>
  <si>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</si>
  <si>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</si>
  <si>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</si>
  <si>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</si>
  <si>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</si>
  <si>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</si>
  <si>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</si>
  <si>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</si>
  <si>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</si>
  <si>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</si>
  <si>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</si>
  <si>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</si>
  <si>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</si>
  <si>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</si>
  <si>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</si>
  <si>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</si>
  <si>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</si>
  <si>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</si>
  <si>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</si>
  <si>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</si>
  <si>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</si>
  <si>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</si>
  <si>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</si>
  <si>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</si>
  <si>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</si>
  <si>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</si>
  <si>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</si>
  <si>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</si>
  <si>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</si>
  <si>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</si>
  <si>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</si>
  <si>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</si>
  <si>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</si>
  <si>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</si>
  <si>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</si>
  <si>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</si>
  <si>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</si>
  <si>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</si>
  <si>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</si>
  <si>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</si>
  <si>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</si>
  <si>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</si>
  <si>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</si>
  <si>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</si>
  <si>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</si>
  <si>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</si>
  <si>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</si>
  <si>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</si>
  <si>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</si>
  <si>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</si>
  <si>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</si>
  <si>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</si>
  <si>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</si>
  <si>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</si>
  <si>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</si>
  <si>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</si>
  <si>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</si>
  <si>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</si>
  <si>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</si>
  <si>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</si>
  <si>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</si>
  <si>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</si>
  <si>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</si>
  <si>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</si>
  <si>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</si>
  <si>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</si>
  <si>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</si>
  <si>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</si>
  <si>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</si>
  <si>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</si>
  <si>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</si>
  <si>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</si>
  <si>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</si>
  <si>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</si>
  <si>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</si>
  <si>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</si>
  <si>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</si>
  <si>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</si>
  <si>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</si>
  <si>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</si>
  <si>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</si>
  <si>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</si>
  <si>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</si>
  <si>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</si>
  <si>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</si>
  <si>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</si>
  <si>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</si>
  <si>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</si>
  <si>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</si>
  <si>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</si>
  <si>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</si>
  <si>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</si>
  <si>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</si>
  <si>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</si>
  <si>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</si>
  <si>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</si>
  <si>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</si>
  <si>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</si>
  <si>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</si>
  <si>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</si>
  <si>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</si>
  <si>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</si>
  <si>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</si>
  <si>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</si>
  <si>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</si>
  <si>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</si>
  <si>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</si>
  <si>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</si>
  <si>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</si>
  <si>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</si>
  <si>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</si>
  <si>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</si>
  <si>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</si>
  <si>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</si>
  <si>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</si>
  <si>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</si>
  <si>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</si>
  <si>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</si>
  <si>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</si>
  <si>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</si>
  <si>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</si>
  <si>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</si>
  <si>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</si>
  <si>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</si>
  <si>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</si>
  <si>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</si>
  <si>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</si>
  <si>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</si>
  <si>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</si>
  <si>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</si>
  <si>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</si>
  <si>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</si>
  <si>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</si>
  <si>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</si>
  <si>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</si>
  <si>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</si>
  <si>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</si>
  <si>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</si>
  <si>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</si>
  <si>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</si>
  <si>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</si>
  <si>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</si>
  <si>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</si>
  <si>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</si>
  <si>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</si>
  <si>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</si>
  <si>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</si>
  <si>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</si>
  <si>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</si>
  <si>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</si>
  <si>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</si>
  <si>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</si>
  <si>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</si>
  <si>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</si>
  <si>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</si>
  <si>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</si>
  <si>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</si>
  <si>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</si>
  <si>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</si>
  <si>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</si>
  <si>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</si>
  <si>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</si>
  <si>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</si>
  <si>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</si>
  <si>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</si>
  <si>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</si>
  <si>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</si>
  <si>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</si>
  <si>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</si>
  <si>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</si>
  <si>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</si>
  <si>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</si>
  <si>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</si>
  <si>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</si>
  <si>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</si>
  <si>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</si>
  <si>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</si>
  <si>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</si>
  <si>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</si>
  <si>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</si>
  <si>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</si>
  <si>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</si>
  <si>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</si>
  <si>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</si>
  <si>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</si>
  <si>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</si>
  <si>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</si>
  <si>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</si>
  <si>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</si>
  <si>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</si>
  <si>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</si>
  <si>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</si>
  <si>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</si>
  <si>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</si>
  <si>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</si>
  <si>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</si>
  <si>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</si>
  <si>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</si>
  <si>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</si>
  <si>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</si>
  <si>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</si>
  <si>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</si>
  <si>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</si>
  <si>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</si>
  <si>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</si>
  <si>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</si>
  <si>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</si>
  <si>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</si>
  <si>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</si>
  <si>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</si>
  <si>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</si>
  <si>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</si>
  <si>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</si>
  <si>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</si>
  <si>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</si>
  <si>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</si>
  <si>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</si>
  <si>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</si>
  <si>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</si>
  <si>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</si>
  <si>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</si>
  <si>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</si>
  <si>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</si>
  <si>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</si>
  <si>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</si>
  <si>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</si>
  <si>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</si>
  <si>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</si>
  <si>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</si>
  <si>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</si>
  <si>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</si>
  <si>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</si>
  <si>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</si>
  <si>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</si>
  <si>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</si>
  <si>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</si>
  <si>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</si>
  <si>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</si>
  <si>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</si>
  <si>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</si>
  <si>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</si>
  <si>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</si>
  <si>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</si>
  <si>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</si>
  <si>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</si>
  <si>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</si>
  <si>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</si>
  <si>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</si>
  <si>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</si>
  <si>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</si>
  <si>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</si>
  <si>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</si>
  <si>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</si>
  <si>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</si>
  <si>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</si>
  <si>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</si>
  <si>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</si>
  <si>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</si>
  <si>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</si>
  <si>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</si>
  <si>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</si>
  <si>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</si>
  <si>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</si>
  <si>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</si>
  <si>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</si>
  <si>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</si>
  <si>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</si>
  <si>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</si>
  <si>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</si>
  <si>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</si>
  <si>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</si>
  <si>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</si>
  <si>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</si>
  <si>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</si>
  <si>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</si>
  <si>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</si>
  <si>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</si>
  <si>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</si>
  <si>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</si>
  <si>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</si>
  <si>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</si>
  <si>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</si>
  <si>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</si>
  <si>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</si>
  <si>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</si>
  <si>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</si>
  <si>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</si>
  <si>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</si>
  <si>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</si>
  <si>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</si>
  <si>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</si>
  <si>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</si>
  <si>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</si>
  <si>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</si>
  <si>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</si>
  <si>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</si>
  <si>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</si>
  <si>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</si>
  <si>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</si>
  <si>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</si>
  <si>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</si>
  <si>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</si>
  <si>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</si>
  <si>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</si>
  <si>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</si>
  <si>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</si>
  <si>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</si>
  <si>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</si>
  <si>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</si>
  <si>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</si>
  <si>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</si>
  <si>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</si>
  <si>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</si>
  <si>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</si>
  <si>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</si>
  <si>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</si>
  <si>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</si>
  <si>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</si>
  <si>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</si>
  <si>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</si>
  <si>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</si>
  <si>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</si>
  <si>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</si>
  <si>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</si>
  <si>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</si>
  <si>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</si>
  <si>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</si>
  <si>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</si>
  <si>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</si>
  <si>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</si>
  <si>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</si>
  <si>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</si>
  <si>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</si>
  <si>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</si>
  <si>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</si>
  <si>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</si>
  <si>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</si>
  <si>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</si>
  <si>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</si>
  <si>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</si>
  <si>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</si>
  <si>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</si>
  <si>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</si>
  <si>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</si>
  <si>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</si>
  <si>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</si>
  <si>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</si>
  <si>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</si>
  <si>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</si>
  <si>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</si>
  <si>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</si>
  <si>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</si>
  <si>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</si>
  <si>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</si>
  <si>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</si>
  <si>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</si>
  <si>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</si>
  <si>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</si>
  <si>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</si>
  <si>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</si>
  <si>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</si>
  <si>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</si>
  <si>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</si>
  <si>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</si>
  <si>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</si>
  <si>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</si>
  <si>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</si>
  <si>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</si>
  <si>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</si>
  <si>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</si>
  <si>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</si>
  <si>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</si>
  <si>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</si>
  <si>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</si>
  <si>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</si>
  <si>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</si>
  <si>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</si>
  <si>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</si>
  <si>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</si>
  <si>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</si>
  <si>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</si>
  <si>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</si>
  <si>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</si>
  <si>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</si>
  <si>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</si>
  <si>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</si>
  <si>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</si>
  <si>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</si>
  <si>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</si>
  <si>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</si>
  <si>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</si>
  <si>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</si>
  <si>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</si>
  <si>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</si>
  <si>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</si>
  <si>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</si>
  <si>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</si>
  <si>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</si>
  <si>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</si>
  <si>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</si>
  <si>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</si>
  <si>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</si>
  <si>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</si>
  <si>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</si>
  <si>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</si>
  <si>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</si>
  <si>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</si>
  <si>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</si>
  <si>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</si>
  <si>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</si>
  <si>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</si>
  <si>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</si>
  <si>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</si>
  <si>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</si>
  <si>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</si>
  <si>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</si>
  <si>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</si>
  <si>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</si>
  <si>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</si>
  <si>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</si>
  <si>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</si>
  <si>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</si>
  <si>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</si>
  <si>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</si>
  <si>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</si>
  <si>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</si>
  <si>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</si>
  <si>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</si>
  <si>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</si>
  <si>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</si>
  <si>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</si>
  <si>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</si>
  <si>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</si>
  <si>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</si>
  <si>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</si>
  <si>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</si>
  <si>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</si>
  <si>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</si>
  <si>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</si>
  <si>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</si>
  <si>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</si>
  <si>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</si>
  <si>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</si>
  <si>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</si>
  <si>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</si>
  <si>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</si>
  <si>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</si>
  <si>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</si>
  <si>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</si>
  <si>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</si>
  <si>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</si>
  <si>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</si>
  <si>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</si>
  <si>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</si>
  <si>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</si>
  <si>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</si>
  <si>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</si>
  <si>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</si>
  <si>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</si>
  <si>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</si>
  <si>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</si>
  <si>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</si>
  <si>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</si>
  <si>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</si>
  <si>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</si>
  <si>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</si>
  <si>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</si>
  <si>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</si>
  <si>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</si>
  <si>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</si>
  <si>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</si>
  <si>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</si>
  <si>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</si>
  <si>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</si>
  <si>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</si>
  <si>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</si>
  <si>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</si>
  <si>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</si>
  <si>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</si>
  <si>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</si>
  <si>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</si>
  <si>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</si>
  <si>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</si>
  <si>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</si>
  <si>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</si>
  <si>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</si>
  <si>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</si>
  <si>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</si>
  <si>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</si>
  <si>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</si>
  <si>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</si>
  <si>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</si>
  <si>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</si>
  <si>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</si>
  <si>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</si>
  <si>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</si>
  <si>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</si>
  <si>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</si>
  <si>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</si>
  <si>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</si>
  <si>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</si>
  <si>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</si>
  <si>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</si>
  <si>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</si>
  <si>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</si>
  <si>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</si>
  <si>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</si>
  <si>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</si>
  <si>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</si>
  <si>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</si>
  <si>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</si>
  <si>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</si>
  <si>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</si>
  <si>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</si>
  <si>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</si>
  <si>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</si>
  <si>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</si>
  <si>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</si>
  <si>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</si>
  <si>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</si>
  <si>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</si>
  <si>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</si>
  <si>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</si>
  <si>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</si>
  <si>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</si>
  <si>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</si>
  <si>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</si>
  <si>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</si>
  <si>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</si>
  <si>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</si>
  <si>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</si>
  <si>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</si>
  <si>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</si>
  <si>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</si>
  <si>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</si>
  <si>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</si>
  <si>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</si>
  <si>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</si>
  <si>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</si>
  <si>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</si>
  <si>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</si>
  <si>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</si>
  <si>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</si>
  <si>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</si>
  <si>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</si>
  <si>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</si>
  <si>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</si>
  <si>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</si>
  <si>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</si>
  <si>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</si>
  <si>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</si>
  <si>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</si>
  <si>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</si>
  <si>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</si>
  <si>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</si>
  <si>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</si>
  <si>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</si>
  <si>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</si>
  <si>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</si>
  <si>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</si>
  <si>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</si>
  <si>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</si>
  <si>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</si>
  <si>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</si>
  <si>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</si>
  <si>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</si>
  <si>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</si>
  <si>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</si>
  <si>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</si>
  <si>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</si>
  <si>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</si>
  <si>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</si>
  <si>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</si>
  <si>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</si>
  <si>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</si>
  <si>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</si>
  <si>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</si>
  <si>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</si>
  <si>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</si>
  <si>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</si>
  <si>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</si>
  <si>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</si>
  <si>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</si>
  <si>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</si>
  <si>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</si>
  <si>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</si>
  <si>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</si>
  <si>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</si>
  <si>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</si>
  <si>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</si>
  <si>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</si>
  <si>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</si>
  <si>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</si>
  <si>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</si>
  <si>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</si>
  <si>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</si>
  <si>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</si>
  <si>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</si>
  <si>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</si>
  <si>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</si>
  <si>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</si>
  <si>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</si>
  <si>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</si>
  <si>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</si>
  <si>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</si>
  <si>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</si>
  <si>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</si>
  <si>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</si>
  <si>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</si>
  <si>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</si>
  <si>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</si>
  <si>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</si>
  <si>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</si>
  <si>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</si>
  <si>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</si>
  <si>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</si>
  <si>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</si>
  <si>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</si>
  <si>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</si>
  <si>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</si>
  <si>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</si>
  <si>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</si>
  <si>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</si>
  <si>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</si>
  <si>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</si>
  <si>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</si>
  <si>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</si>
  <si>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</si>
  <si>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</si>
  <si>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</si>
  <si>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</si>
  <si>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</si>
  <si>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</si>
  <si>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</si>
  <si>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</si>
  <si>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</si>
  <si>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</si>
  <si>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</si>
  <si>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</si>
  <si>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</si>
  <si>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</si>
  <si>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</si>
  <si>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</si>
  <si>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</si>
  <si>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</si>
  <si>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</si>
  <si>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</si>
  <si>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</si>
  <si>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</si>
  <si>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</si>
  <si>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</si>
  <si>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</si>
  <si>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</si>
  <si>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</si>
  <si>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</si>
  <si>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</si>
  <si>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</si>
  <si>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</si>
  <si>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</si>
  <si>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</si>
  <si>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</si>
  <si>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</si>
  <si>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</si>
  <si>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</si>
  <si>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</si>
  <si>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</si>
  <si>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</si>
  <si>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</si>
  <si>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</si>
  <si>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</si>
  <si>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</si>
  <si>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</si>
  <si>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</si>
  <si>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</si>
  <si>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</si>
  <si>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</si>
  <si>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</si>
  <si>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</si>
  <si>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</si>
  <si>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</si>
  <si>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</si>
  <si>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</si>
  <si>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</si>
  <si>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</si>
  <si>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</si>
  <si>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</si>
  <si>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</si>
  <si>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</si>
  <si>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</si>
  <si>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</si>
  <si>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</si>
  <si>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</si>
  <si>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</si>
  <si>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</si>
  <si>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</si>
  <si>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</si>
  <si>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</si>
  <si>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</si>
  <si>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</si>
  <si>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</si>
  <si>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</si>
  <si>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</si>
  <si>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</si>
  <si>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</si>
  <si>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</si>
  <si>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</si>
  <si>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</si>
  <si>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</si>
  <si>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</si>
  <si>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</si>
  <si>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</si>
  <si>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</si>
  <si>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</si>
  <si>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</si>
  <si>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</si>
  <si>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</si>
  <si>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</si>
  <si>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</si>
  <si>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</si>
  <si>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</si>
  <si>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</si>
  <si>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</si>
  <si>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</si>
  <si>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</si>
  <si>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</si>
  <si>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</si>
  <si>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</si>
  <si>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</si>
  <si>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</si>
  <si>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</si>
  <si>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</si>
  <si>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</si>
  <si>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</si>
  <si>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</si>
  <si>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</si>
  <si>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</si>
  <si>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</si>
  <si>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</si>
  <si>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</si>
  <si>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</si>
  <si>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</si>
  <si>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</si>
  <si>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</si>
  <si>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</si>
  <si>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</si>
  <si>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</si>
  <si>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</si>
  <si>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</si>
  <si>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</si>
  <si>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</si>
  <si>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</si>
  <si>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</si>
  <si>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</si>
  <si>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</si>
  <si>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</si>
  <si>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</si>
  <si>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</si>
  <si>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</si>
  <si>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</si>
  <si>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</si>
  <si>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</si>
  <si>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</si>
  <si>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</si>
  <si>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</si>
  <si>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</si>
  <si>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</si>
  <si>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</si>
  <si>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</si>
  <si>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</si>
  <si>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</si>
  <si>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</si>
  <si>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</si>
  <si>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</si>
  <si>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</si>
  <si>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</si>
  <si>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</si>
  <si>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</si>
  <si>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</si>
  <si>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</si>
  <si>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</si>
  <si>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</si>
  <si>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</si>
  <si>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</si>
  <si>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</si>
  <si>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</si>
  <si>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</si>
  <si>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</si>
  <si>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</si>
  <si>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</si>
  <si>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</si>
  <si>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</si>
  <si>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</si>
  <si>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</si>
  <si>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</si>
  <si>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</si>
  <si>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</si>
  <si>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</si>
  <si>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</si>
  <si>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</si>
  <si>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</si>
  <si>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</si>
  <si>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</si>
  <si>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</si>
  <si>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</si>
  <si>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</si>
  <si>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</si>
  <si>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</si>
  <si>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</si>
  <si>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</si>
  <si>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</si>
  <si>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</si>
  <si>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</si>
  <si>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</si>
  <si>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</si>
  <si>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</si>
  <si>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</si>
  <si>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</si>
  <si>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</si>
  <si>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</si>
  <si>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</si>
  <si>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</si>
  <si>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</si>
  <si>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</si>
  <si>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</si>
  <si>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</si>
  <si>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</si>
  <si>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</si>
  <si>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</si>
  <si>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</si>
  <si>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</si>
  <si>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</si>
  <si>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</si>
  <si>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</si>
  <si>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</si>
  <si>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</si>
  <si>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</si>
  <si>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</si>
  <si>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</si>
  <si>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</si>
  <si>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</si>
  <si>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</si>
  <si>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</si>
  <si>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</si>
  <si>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</si>
  <si>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</si>
  <si>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</si>
  <si>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</si>
  <si>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</si>
  <si>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</si>
  <si>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</si>
  <si>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</si>
  <si>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</si>
  <si>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</si>
  <si>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</si>
  <si>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</si>
  <si>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</si>
  <si>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</si>
  <si>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</si>
  <si>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</si>
  <si>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</si>
  <si>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</si>
  <si>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</si>
  <si>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</si>
  <si>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</si>
  <si>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</si>
  <si>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</si>
  <si>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</si>
  <si>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</si>
  <si>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</si>
  <si>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</si>
  <si>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</si>
  <si>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</si>
  <si>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</si>
  <si>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</si>
  <si>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</si>
  <si>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</si>
  <si>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</si>
  <si>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</si>
  <si>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</si>
  <si>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</si>
  <si>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</si>
  <si>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</si>
  <si>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</si>
  <si>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</si>
  <si>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</si>
  <si>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</si>
  <si>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</si>
  <si>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</si>
  <si>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</si>
  <si>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</si>
  <si>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</si>
  <si>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</si>
  <si>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</si>
  <si>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</si>
  <si>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</si>
  <si>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</si>
  <si>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</si>
  <si>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</si>
  <si>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</si>
  <si>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</si>
  <si>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</si>
  <si>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</si>
  <si>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</si>
  <si>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</si>
  <si>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</si>
  <si>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</si>
  <si>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</si>
  <si>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</si>
  <si>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</si>
  <si>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</si>
  <si>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</si>
  <si>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</si>
  <si>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</si>
  <si>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</si>
  <si>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</si>
  <si>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</si>
  <si>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</si>
  <si>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</si>
  <si>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</si>
  <si>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</si>
  <si>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</si>
  <si>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</si>
  <si>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</si>
  <si>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</si>
  <si>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</si>
  <si>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</si>
  <si>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</si>
  <si>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</si>
  <si>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</si>
  <si>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</si>
  <si>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</si>
  <si>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</si>
  <si>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</si>
  <si>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</si>
  <si>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</si>
  <si>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</si>
  <si>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</si>
  <si>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</si>
  <si>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</si>
  <si>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</si>
  <si>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</si>
  <si>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</si>
  <si>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</si>
  <si>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</si>
  <si>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</si>
  <si>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</si>
  <si>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</si>
  <si>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</si>
  <si>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</si>
  <si>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</si>
  <si>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</si>
  <si>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</si>
  <si>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</si>
  <si>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</si>
  <si>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</si>
  <si>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</si>
  <si>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</si>
  <si>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</si>
  <si>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</si>
  <si>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</si>
  <si>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</si>
  <si>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</si>
  <si>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</si>
  <si>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</si>
  <si>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</si>
  <si>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</si>
  <si>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</si>
  <si>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</si>
  <si>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</si>
  <si>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</si>
  <si>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</si>
  <si>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</si>
  <si>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</si>
  <si>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</si>
  <si>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</si>
  <si>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</si>
  <si>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</si>
  <si>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</si>
  <si>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</si>
  <si>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</si>
  <si>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</si>
  <si>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</si>
  <si>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</si>
  <si>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</si>
  <si>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</si>
  <si>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</si>
  <si>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</si>
  <si>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</si>
  <si>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</si>
  <si>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</si>
  <si>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</si>
  <si>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</si>
  <si>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</si>
  <si>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</si>
  <si>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</si>
  <si>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</si>
  <si>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</si>
  <si>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</si>
  <si>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</si>
  <si>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</si>
  <si>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</si>
  <si>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</si>
  <si>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</si>
  <si>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</si>
  <si>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</si>
  <si>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</si>
  <si>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</si>
  <si>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</si>
  <si>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</si>
  <si>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</si>
  <si>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</si>
  <si>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</si>
  <si>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</si>
  <si>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</si>
  <si>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</si>
  <si>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</si>
  <si>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</si>
  <si>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</si>
  <si>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</si>
  <si>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</si>
  <si>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</si>
  <si>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</si>
  <si>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</si>
  <si>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</si>
  <si>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</si>
  <si>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</si>
  <si>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</si>
  <si>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</si>
  <si>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</si>
  <si>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</si>
  <si>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</si>
  <si>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</si>
  <si>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</si>
  <si>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</si>
  <si>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</si>
  <si>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</si>
  <si>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</si>
  <si>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</si>
  <si>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</si>
  <si>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</si>
  <si>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</si>
  <si>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</si>
  <si>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</si>
  <si>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</si>
  <si>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</si>
  <si>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</si>
  <si>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</si>
  <si>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</si>
  <si>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</si>
  <si>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</si>
  <si>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</si>
  <si>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</si>
  <si>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</si>
  <si>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</si>
  <si>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</si>
  <si>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</si>
  <si>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</si>
  <si>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</si>
  <si>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</si>
  <si>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</si>
  <si>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</si>
  <si>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</si>
  <si>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</si>
  <si>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</si>
  <si>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</si>
  <si>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</si>
  <si>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</si>
  <si>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</si>
  <si>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</si>
  <si>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</si>
  <si>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</si>
  <si>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</si>
  <si>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</si>
  <si>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</si>
  <si>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</si>
  <si>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</si>
  <si>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</si>
  <si>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</si>
  <si>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</si>
  <si>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</si>
  <si>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</si>
  <si>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</si>
  <si>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</si>
  <si>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</si>
  <si>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</si>
  <si>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</si>
  <si>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</si>
  <si>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</si>
  <si>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</si>
  <si>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</si>
  <si>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</si>
  <si>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</si>
  <si>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</si>
  <si>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</si>
  <si>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</si>
  <si>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</si>
  <si>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</si>
  <si>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</si>
  <si>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</si>
  <si>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</si>
  <si>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</si>
  <si>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</si>
  <si>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</si>
  <si>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</si>
  <si>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</si>
  <si>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</si>
  <si>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</si>
  <si>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</si>
  <si>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</si>
  <si>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</si>
  <si>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</si>
  <si>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</si>
  <si>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</si>
  <si>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</si>
  <si>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</si>
  <si>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</si>
  <si>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</si>
  <si>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</si>
  <si>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</si>
  <si>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</si>
  <si>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</si>
  <si>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</si>
  <si>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</si>
  <si>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</si>
  <si>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</si>
  <si>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</si>
  <si>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</si>
  <si>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</si>
  <si>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</si>
  <si>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</si>
  <si>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</si>
  <si>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</si>
  <si>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</si>
  <si>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</si>
  <si>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</si>
  <si>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</si>
  <si>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</si>
  <si>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</si>
  <si>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</si>
  <si>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</si>
  <si>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</si>
  <si>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</si>
  <si>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</si>
  <si>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</si>
  <si>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</si>
  <si>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</si>
  <si>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</si>
  <si>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</si>
  <si>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</si>
  <si>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</si>
  <si>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</si>
  <si>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</si>
  <si>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</si>
  <si>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</si>
  <si>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</si>
  <si>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</si>
  <si>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</si>
  <si>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</si>
  <si>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</si>
  <si>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</si>
  <si>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</si>
  <si>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</si>
  <si>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</si>
  <si>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</si>
  <si>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</si>
  <si>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</si>
  <si>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</si>
  <si>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</si>
  <si>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</si>
  <si>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</si>
  <si>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</si>
  <si>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</si>
  <si>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</si>
  <si>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</si>
  <si>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</si>
  <si>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</si>
  <si>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</si>
  <si>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</si>
  <si>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</si>
  <si>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</si>
  <si>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</si>
  <si>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</si>
  <si>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</si>
  <si>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</si>
  <si>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</si>
  <si>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</si>
  <si>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</si>
  <si>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</si>
  <si>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</si>
  <si>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</si>
  <si>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</si>
  <si>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</si>
  <si>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</si>
  <si>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</si>
  <si>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</si>
  <si>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</si>
  <si>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</si>
  <si>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</si>
  <si>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</si>
  <si>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</si>
  <si>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</si>
  <si>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</si>
  <si>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</si>
  <si>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</si>
  <si>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</si>
  <si>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</si>
  <si>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</si>
  <si>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</si>
  <si>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</si>
  <si>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</si>
  <si>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</si>
  <si>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</si>
  <si>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</si>
  <si>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</si>
  <si>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</si>
  <si>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</si>
  <si>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</si>
  <si>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</si>
  <si>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</si>
  <si>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</si>
  <si>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</si>
  <si>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</si>
  <si>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</si>
  <si>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</si>
  <si>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</si>
  <si>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</si>
  <si>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</si>
  <si>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</si>
  <si>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</si>
  <si>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</si>
  <si>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</si>
  <si>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</si>
  <si>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</si>
  <si>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</si>
  <si>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</si>
  <si>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</si>
  <si>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</si>
  <si>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</si>
  <si>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</si>
  <si>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</si>
  <si>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</si>
  <si>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</si>
  <si>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</si>
  <si>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</si>
  <si>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</si>
  <si>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</si>
  <si>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</si>
  <si>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</si>
  <si>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</si>
  <si>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</si>
  <si>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</si>
  <si>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</si>
  <si>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</si>
  <si>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</si>
  <si>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</si>
  <si>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</si>
  <si>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</si>
  <si>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</si>
  <si>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</si>
  <si>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</si>
  <si>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</si>
  <si>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</si>
  <si>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</si>
  <si>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</si>
  <si>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</si>
  <si>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</si>
  <si>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</si>
  <si>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</si>
  <si>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</si>
  <si>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</si>
  <si>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</si>
  <si>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</si>
  <si>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</si>
  <si>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</si>
  <si>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</si>
  <si>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</si>
  <si>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</si>
  <si>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</si>
  <si>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</si>
  <si>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</si>
  <si>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</si>
  <si>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</si>
  <si>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</si>
  <si>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</si>
  <si>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</si>
  <si>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</si>
  <si>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</si>
  <si>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</si>
  <si>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</si>
  <si>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</si>
  <si>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</si>
  <si>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</si>
  <si>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</si>
  <si>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</si>
  <si>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</si>
  <si>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</si>
  <si>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</si>
  <si>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</si>
  <si>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</si>
  <si>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</si>
  <si>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</si>
  <si>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</si>
  <si>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</si>
  <si>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</si>
  <si>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</si>
  <si>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</si>
  <si>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</si>
  <si>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</si>
  <si>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</si>
  <si>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</si>
  <si>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</si>
  <si>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</si>
  <si>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</si>
  <si>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</si>
  <si>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</si>
  <si>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</si>
  <si>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</si>
  <si>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</si>
  <si>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</si>
  <si>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</si>
  <si>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</si>
  <si>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</si>
  <si>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</si>
  <si>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</si>
  <si>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</si>
  <si>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</si>
  <si>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</si>
  <si>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</si>
  <si>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</si>
  <si>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</si>
  <si>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</si>
  <si>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</si>
  <si>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</si>
  <si>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</si>
  <si>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</si>
  <si>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</si>
  <si>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</si>
  <si>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</si>
  <si>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</si>
  <si>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</si>
  <si>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</si>
  <si>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</si>
  <si>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</si>
  <si>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</si>
  <si>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</si>
  <si>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</si>
  <si>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</si>
  <si>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</si>
  <si>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</si>
  <si>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</si>
  <si>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</si>
  <si>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</si>
  <si>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</si>
  <si>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</si>
  <si>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</si>
  <si>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</si>
  <si>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</si>
  <si>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</si>
  <si>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</si>
  <si>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</si>
  <si>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</si>
  <si>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</si>
  <si>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</si>
  <si>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</si>
  <si>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</si>
  <si>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</si>
  <si>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</si>
  <si>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</si>
  <si>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</si>
  <si>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</si>
  <si>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</si>
  <si>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</si>
  <si>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</si>
  <si>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</si>
  <si>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</si>
  <si>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</si>
  <si>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</si>
  <si>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</si>
  <si>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</si>
  <si>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</si>
  <si>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</si>
  <si>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</si>
  <si>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</si>
  <si>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</si>
  <si>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</si>
  <si>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</si>
  <si>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</si>
  <si>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</si>
  <si>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</si>
  <si>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</si>
  <si>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</si>
  <si>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</si>
  <si>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</si>
  <si>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</si>
  <si>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</si>
  <si>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</si>
  <si>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</si>
  <si>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</si>
  <si>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</si>
  <si>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</si>
  <si>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</si>
  <si>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</si>
  <si>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</si>
  <si>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</si>
  <si>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</si>
  <si>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</si>
  <si>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</si>
  <si>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</si>
  <si>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</si>
  <si>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</si>
  <si>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</si>
  <si>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</si>
  <si>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</si>
  <si>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</si>
  <si>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</si>
  <si>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</si>
  <si>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</si>
  <si>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</si>
  <si>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</si>
  <si>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</si>
  <si>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</si>
  <si>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</si>
  <si>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</si>
  <si>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</si>
  <si>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</si>
  <si>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</si>
  <si>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</si>
  <si>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</si>
  <si>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</si>
  <si>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</si>
  <si>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</si>
  <si>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</si>
  <si>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</si>
  <si>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</si>
  <si>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</si>
  <si>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</si>
  <si>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</si>
  <si>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</si>
  <si>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</si>
  <si>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</si>
  <si>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</si>
  <si>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</si>
  <si>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</si>
  <si>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</si>
  <si>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</si>
  <si>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</si>
  <si>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</si>
  <si>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</si>
  <si>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</si>
  <si>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</si>
  <si>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</si>
  <si>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</si>
  <si>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</si>
  <si>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</si>
  <si>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</si>
  <si>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</si>
  <si>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</si>
  <si>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</si>
  <si>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</si>
  <si>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</si>
  <si>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</si>
  <si>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</si>
  <si>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</si>
  <si>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</si>
  <si>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</si>
  <si>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</si>
  <si>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</si>
  <si>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</si>
  <si>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</si>
  <si>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</si>
  <si>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</si>
  <si>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</si>
  <si>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</si>
  <si>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</si>
  <si>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</si>
  <si>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</si>
  <si>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</si>
  <si>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</si>
  <si>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</si>
  <si>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</si>
  <si>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</si>
  <si>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</si>
  <si>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</si>
  <si>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</si>
  <si>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</si>
  <si>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</si>
  <si>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</si>
  <si>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</si>
  <si>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</si>
  <si>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</si>
  <si>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</si>
  <si>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</si>
  <si>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</si>
  <si>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</si>
  <si>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</si>
  <si>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</si>
  <si>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</si>
  <si>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</si>
  <si>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</si>
  <si>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</si>
  <si>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</si>
  <si>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</si>
  <si>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</si>
  <si>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</si>
  <si>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</si>
  <si>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</si>
  <si>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</si>
  <si>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</si>
  <si>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</si>
  <si>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</si>
  <si>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</si>
  <si>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</si>
  <si>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</si>
  <si>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</si>
  <si>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</si>
  <si>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</si>
  <si>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</si>
  <si>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</si>
  <si>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</si>
  <si>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</si>
  <si>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</si>
  <si>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</si>
  <si>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</si>
  <si>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</si>
  <si>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</si>
  <si>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</si>
  <si>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</si>
  <si>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</si>
  <si>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</si>
  <si>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</si>
  <si>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</si>
  <si>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</si>
  <si>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</si>
  <si>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</si>
  <si>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</si>
  <si>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</si>
  <si>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</si>
  <si>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</si>
  <si>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</si>
  <si>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</si>
  <si>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</si>
  <si>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</si>
  <si>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</si>
  <si>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</si>
  <si>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</si>
  <si>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</si>
  <si>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</si>
  <si>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</si>
  <si>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</si>
  <si>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</si>
  <si>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</si>
  <si>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</si>
  <si>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</si>
  <si>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</si>
  <si>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</si>
  <si>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</si>
  <si>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</si>
  <si>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</si>
  <si>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</si>
  <si>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</si>
  <si>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</si>
  <si>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</si>
  <si>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</si>
  <si>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</si>
  <si>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</si>
  <si>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</si>
  <si>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</si>
  <si>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</si>
  <si>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</si>
  <si>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</si>
  <si>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</si>
  <si>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</si>
  <si>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</si>
  <si>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</si>
  <si>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</si>
  <si>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</si>
  <si>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</si>
  <si>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</si>
  <si>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</si>
  <si>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</si>
  <si>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</si>
  <si>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</si>
  <si>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</si>
  <si>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</si>
  <si>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</si>
  <si>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</si>
  <si>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</si>
  <si>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</si>
  <si>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</si>
  <si>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</si>
  <si>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</si>
  <si>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</si>
  <si>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</si>
  <si>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</si>
  <si>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</si>
  <si>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</si>
  <si>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</si>
  <si>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</si>
  <si>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</si>
  <si>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</si>
  <si>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</si>
  <si>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</si>
  <si>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</si>
  <si>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</si>
  <si>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</si>
  <si>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</si>
  <si>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</si>
  <si>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</si>
  <si>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</si>
  <si>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</si>
  <si>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</si>
  <si>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</si>
  <si>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</si>
  <si>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</si>
  <si>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</si>
  <si>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</si>
  <si>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</si>
  <si>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</si>
  <si>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</si>
  <si>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</si>
  <si>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</si>
  <si>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</si>
  <si>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</si>
  <si>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</si>
  <si>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</si>
  <si>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</si>
  <si>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</si>
  <si>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</si>
  <si>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</si>
  <si>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</si>
  <si>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</si>
  <si>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</si>
  <si>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</si>
  <si>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</si>
  <si>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</si>
  <si>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</si>
  <si>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</si>
  <si>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</si>
  <si>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</si>
  <si>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</si>
  <si>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</si>
  <si>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</si>
  <si>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</si>
  <si>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</si>
  <si>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</si>
  <si>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</si>
  <si>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</si>
  <si>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</si>
  <si>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</si>
  <si>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</si>
  <si>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</si>
  <si>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</si>
  <si>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</si>
  <si>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</si>
  <si>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</si>
  <si>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</si>
  <si>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</si>
  <si>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</si>
  <si>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</si>
  <si>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</si>
  <si>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</si>
  <si>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</si>
  <si>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</si>
  <si>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</si>
  <si>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</si>
  <si>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</si>
  <si>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</si>
  <si>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</si>
  <si>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</si>
  <si>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</si>
  <si>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</si>
  <si>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</si>
  <si>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</si>
  <si>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</si>
  <si>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</si>
  <si>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</si>
  <si>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</si>
  <si>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</si>
  <si>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</si>
  <si>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</si>
  <si>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</si>
  <si>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</si>
  <si>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</si>
  <si>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</si>
  <si>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</si>
  <si>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</si>
  <si>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</si>
  <si>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</si>
  <si>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</si>
  <si>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</si>
  <si>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</si>
  <si>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</si>
  <si>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</si>
  <si>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</si>
  <si>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</si>
  <si>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</si>
  <si>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</si>
  <si>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</si>
  <si>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</si>
  <si>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</si>
  <si>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</si>
  <si>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</si>
  <si>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</si>
  <si>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</si>
  <si>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</si>
  <si>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</si>
  <si>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</si>
  <si>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</si>
  <si>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</si>
  <si>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</si>
  <si>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</si>
  <si>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</si>
  <si>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</si>
  <si>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</si>
  <si>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</si>
  <si>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</si>
  <si>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</si>
  <si>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</si>
  <si>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</si>
  <si>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</si>
  <si>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</si>
  <si>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</si>
  <si>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</si>
  <si>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</si>
  <si>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</si>
  <si>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</si>
  <si>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</si>
  <si>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</si>
  <si>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</si>
  <si>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</si>
  <si>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</si>
  <si>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</si>
  <si>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</si>
  <si>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</si>
  <si>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</si>
  <si>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</si>
  <si>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</si>
  <si>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</si>
  <si>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</si>
  <si>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</si>
  <si>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</si>
  <si>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</si>
  <si>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</si>
  <si>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</si>
  <si>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</si>
  <si>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</si>
  <si>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</si>
  <si>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</si>
  <si>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</si>
  <si>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</si>
  <si>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</si>
  <si>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</si>
  <si>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</si>
  <si>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</si>
  <si>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</si>
  <si>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</si>
  <si>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</si>
  <si>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</si>
  <si>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</si>
  <si>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</si>
  <si>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</si>
  <si>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</si>
  <si>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</si>
  <si>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</si>
  <si>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</si>
  <si>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</si>
  <si>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</si>
  <si>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</si>
  <si>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</si>
  <si>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</si>
  <si>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</si>
  <si>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</si>
  <si>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</si>
  <si>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</si>
  <si>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</si>
  <si>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</si>
  <si>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</si>
  <si>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</si>
  <si>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</si>
  <si>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</si>
  <si>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</si>
  <si>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</si>
  <si>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</si>
  <si>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</si>
  <si>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</si>
  <si>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</si>
  <si>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</si>
  <si>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</si>
  <si>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</si>
  <si>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</si>
  <si>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</si>
  <si>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</si>
  <si>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</si>
  <si>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</si>
  <si>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</si>
  <si>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</si>
  <si>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</si>
  <si>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</si>
  <si>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</si>
  <si>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</si>
  <si>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</si>
  <si>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</si>
  <si>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</si>
  <si>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</si>
  <si>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</si>
  <si>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</si>
  <si>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</si>
  <si>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</si>
  <si>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</si>
  <si>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</si>
  <si>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</si>
  <si>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</si>
  <si>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</si>
  <si>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</si>
  <si>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</si>
  <si>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</si>
  <si>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</si>
  <si>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</si>
  <si>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</si>
  <si>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</si>
  <si>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</si>
  <si>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</si>
  <si>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</si>
  <si>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</si>
  <si>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</si>
  <si>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</si>
  <si>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</si>
  <si>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</si>
  <si>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</si>
  <si>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</si>
  <si>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</si>
  <si>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</si>
  <si>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</si>
  <si>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</si>
  <si>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</si>
  <si>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</si>
  <si>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</si>
  <si>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</si>
  <si>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</si>
  <si>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</si>
  <si>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</si>
  <si>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</si>
  <si>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</si>
  <si>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</si>
  <si>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</si>
  <si>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</si>
  <si>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</si>
  <si>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</si>
  <si>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</si>
  <si>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</si>
  <si>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</si>
  <si>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</si>
  <si>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</si>
  <si>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</si>
  <si>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</si>
  <si>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</si>
  <si>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</si>
  <si>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</si>
  <si>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</si>
  <si>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</si>
  <si>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</si>
  <si>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</si>
  <si>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</si>
  <si>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</si>
  <si>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</si>
  <si>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</si>
  <si>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</si>
  <si>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</si>
  <si>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</si>
  <si>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</si>
  <si>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</si>
  <si>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</si>
  <si>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</si>
  <si>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</si>
  <si>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</si>
  <si>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</si>
  <si>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</si>
  <si>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</si>
  <si>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</si>
  <si>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</si>
  <si>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</si>
  <si>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</si>
  <si>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</si>
  <si>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</si>
  <si>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</si>
  <si>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</si>
  <si>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</si>
  <si>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</si>
  <si>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</si>
  <si>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</si>
  <si>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</si>
  <si>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</si>
  <si>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</si>
  <si>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</si>
  <si>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</si>
  <si>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</si>
  <si>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</si>
  <si>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</si>
  <si>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</si>
  <si>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</si>
  <si>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</si>
  <si>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</si>
  <si>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</si>
  <si>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</si>
  <si>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</si>
  <si>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</si>
  <si>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</si>
  <si>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</si>
  <si>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</si>
  <si>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</si>
  <si>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</si>
  <si>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</si>
  <si>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</si>
  <si>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</si>
  <si>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</si>
  <si>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</si>
  <si>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</si>
  <si>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</si>
  <si>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</si>
  <si>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</si>
  <si>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</si>
  <si>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</si>
  <si>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</si>
  <si>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</si>
  <si>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</si>
  <si>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</si>
  <si>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</si>
  <si>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</si>
  <si>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</si>
  <si>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</si>
  <si>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</si>
  <si>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</si>
  <si>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</si>
  <si>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</si>
  <si>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</si>
  <si>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</si>
  <si>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</si>
  <si>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</si>
  <si>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</si>
  <si>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</si>
  <si>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</si>
  <si>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</si>
  <si>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</si>
  <si>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</si>
  <si>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</si>
  <si>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</si>
  <si>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</si>
  <si>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</si>
  <si>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</si>
  <si>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</si>
  <si>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</si>
  <si>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</si>
  <si>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</si>
  <si>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</si>
  <si>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</si>
  <si>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</si>
  <si>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</si>
  <si>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</si>
  <si>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</si>
  <si>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</si>
  <si>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</si>
  <si>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</si>
  <si>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</si>
  <si>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</si>
  <si>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</si>
  <si>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</si>
  <si>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</si>
  <si>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</si>
  <si>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</si>
  <si>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</si>
  <si>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</si>
  <si>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</si>
  <si>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</si>
  <si>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</si>
  <si>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</si>
  <si>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</si>
  <si>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</si>
  <si>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</si>
  <si>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</si>
  <si>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</si>
  <si>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</si>
  <si>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</si>
  <si>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</si>
  <si>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</si>
  <si>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</si>
  <si>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</si>
  <si>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</si>
  <si>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</si>
  <si>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</si>
  <si>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</si>
  <si>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</si>
  <si>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</si>
  <si>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</si>
  <si>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</si>
  <si>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</si>
  <si>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</si>
  <si>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</si>
  <si>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</si>
  <si>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</si>
  <si>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</si>
  <si>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</si>
  <si>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</si>
  <si>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</si>
  <si>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</si>
  <si>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</si>
  <si>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</si>
  <si>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</si>
  <si>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</si>
  <si>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</si>
  <si>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</si>
  <si>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</si>
  <si>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</si>
  <si>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</si>
  <si>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</si>
  <si>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</si>
  <si>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</si>
  <si>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</si>
  <si>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</si>
  <si>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</si>
  <si>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</si>
  <si>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</si>
  <si>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</si>
  <si>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</si>
  <si>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</si>
  <si>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</si>
  <si>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</si>
  <si>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</si>
  <si>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</si>
  <si>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</si>
  <si>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</si>
  <si>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</si>
  <si>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</si>
  <si>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</si>
  <si>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</si>
  <si>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</si>
  <si>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</si>
  <si>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</si>
  <si>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</si>
  <si>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</si>
  <si>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</si>
  <si>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</si>
  <si>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</si>
  <si>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</si>
  <si>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</si>
  <si>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</si>
  <si>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</si>
  <si>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</si>
  <si>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</si>
  <si>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</si>
  <si>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</si>
  <si>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</si>
  <si>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</si>
  <si>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</si>
  <si>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</si>
  <si>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</si>
  <si>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</si>
  <si>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</si>
  <si>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</si>
  <si>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</si>
  <si>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</si>
  <si>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</si>
  <si>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</si>
  <si>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</si>
  <si>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</si>
  <si>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</si>
  <si>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</si>
  <si>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</si>
  <si>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</si>
  <si>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</si>
  <si>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</si>
  <si>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</si>
  <si>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</si>
  <si>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</si>
  <si>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</si>
  <si>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</si>
  <si>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</si>
  <si>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</si>
  <si>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</si>
  <si>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</si>
  <si>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</si>
  <si>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</si>
  <si>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</si>
  <si>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</si>
  <si>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</si>
  <si>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</si>
  <si>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</si>
  <si>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</si>
  <si>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</si>
  <si>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</si>
  <si>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</si>
  <si>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</si>
  <si>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</si>
  <si>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</si>
  <si>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</si>
  <si>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</si>
  <si>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</si>
  <si>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</si>
  <si>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</si>
  <si>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</si>
  <si>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</si>
  <si>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</si>
  <si>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</si>
  <si>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</si>
  <si>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</si>
  <si>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</si>
  <si>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</si>
  <si>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</si>
  <si>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</si>
  <si>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</si>
  <si>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</si>
  <si>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</si>
  <si>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</si>
  <si>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</si>
  <si>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</si>
  <si>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</si>
  <si>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</si>
  <si>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</si>
  <si>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</si>
  <si>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</si>
  <si>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</si>
  <si>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</si>
  <si>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</si>
  <si>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</si>
  <si>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</si>
  <si>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</si>
  <si>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</si>
  <si>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</si>
  <si>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</si>
  <si>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</si>
  <si>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</si>
  <si>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</si>
  <si>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</si>
  <si>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</si>
  <si>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</si>
  <si>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</si>
  <si>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</si>
  <si>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</si>
  <si>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</si>
  <si>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</si>
  <si>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</si>
  <si>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</si>
  <si>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</si>
  <si>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</si>
  <si>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</si>
  <si>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</si>
  <si>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</si>
  <si>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</si>
  <si>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</si>
  <si>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</si>
  <si>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</si>
  <si>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</si>
  <si>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</si>
  <si>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</si>
  <si>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</si>
  <si>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</si>
  <si>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</si>
  <si>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</si>
  <si>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</si>
  <si>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</si>
  <si>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</si>
  <si>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</si>
  <si>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</si>
  <si>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</si>
  <si>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</si>
  <si>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</si>
  <si>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</si>
  <si>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</si>
  <si>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</si>
  <si>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</si>
  <si>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</si>
  <si>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</si>
  <si>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</si>
  <si>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</si>
  <si>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</si>
  <si>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</si>
  <si>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</si>
  <si>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</si>
  <si>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</si>
  <si>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</si>
  <si>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</si>
  <si>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</si>
  <si>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</si>
  <si>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</si>
  <si>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</si>
  <si>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</si>
  <si>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</si>
  <si>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</si>
  <si>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</si>
  <si>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</si>
  <si>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</si>
  <si>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</si>
  <si>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</si>
  <si>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</si>
  <si>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</si>
  <si>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</si>
  <si>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</si>
  <si>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</si>
  <si>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</si>
  <si>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</si>
  <si>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</si>
  <si>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</si>
  <si>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</si>
  <si>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</si>
  <si>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</si>
  <si>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</si>
  <si>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</si>
  <si>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</si>
  <si>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</si>
  <si>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</si>
  <si>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</si>
  <si>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</si>
  <si>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</si>
  <si>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</si>
  <si>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</si>
  <si>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</si>
  <si>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</si>
  <si>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</si>
  <si>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</si>
  <si>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</si>
  <si>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</si>
  <si>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</si>
  <si>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</si>
  <si>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</si>
  <si>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</si>
  <si>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</si>
  <si>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</si>
  <si>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</si>
  <si>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</si>
  <si>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</si>
  <si>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</si>
  <si>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</si>
  <si>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</si>
  <si>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</si>
  <si>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</si>
  <si>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</si>
  <si>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</si>
  <si>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</si>
  <si>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</si>
  <si>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</si>
  <si>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</si>
  <si>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</si>
  <si>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</si>
  <si>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</si>
  <si>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</si>
  <si>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</si>
  <si>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</si>
  <si>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</si>
  <si>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</si>
  <si>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</si>
  <si>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</si>
  <si>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</si>
  <si>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</si>
  <si>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</si>
  <si>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</si>
  <si>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</si>
  <si>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</si>
  <si>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</si>
  <si>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</si>
  <si>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</si>
  <si>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</si>
  <si>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</si>
  <si>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</si>
  <si>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</si>
  <si>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</si>
  <si>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</si>
  <si>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</si>
  <si>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</si>
  <si>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</si>
  <si>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</si>
  <si>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</si>
  <si>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</si>
  <si>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</si>
  <si>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</si>
  <si>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</si>
  <si>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</si>
  <si>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</si>
  <si>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</si>
  <si>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</si>
  <si>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</si>
  <si>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</si>
  <si>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</si>
  <si>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</si>
  <si>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</si>
  <si>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</si>
  <si>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</si>
  <si>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</si>
  <si>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</si>
  <si>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</si>
  <si>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</si>
  <si>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</si>
  <si>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</si>
  <si>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</si>
  <si>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</si>
  <si>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</si>
  <si>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</si>
  <si>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</si>
  <si>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</si>
  <si>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</si>
  <si>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</si>
  <si>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</si>
  <si>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</si>
  <si>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</si>
  <si>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</si>
  <si>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</si>
  <si>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</si>
  <si>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</si>
  <si>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</si>
  <si>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</si>
  <si>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</si>
  <si>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</si>
  <si>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</si>
  <si>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</si>
  <si>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</si>
  <si>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</si>
  <si>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</si>
  <si>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</si>
  <si>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</si>
  <si>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</si>
  <si>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</si>
  <si>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</si>
  <si>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</si>
  <si>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</si>
  <si>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</si>
  <si>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</si>
  <si>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</si>
  <si>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</si>
  <si>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</si>
  <si>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</si>
  <si>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</si>
  <si>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</si>
  <si>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</si>
  <si>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</si>
  <si>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</si>
  <si>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</si>
  <si>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</si>
  <si>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</si>
  <si>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</si>
  <si>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</si>
  <si>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</si>
  <si>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</si>
  <si>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</si>
  <si>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</si>
  <si>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</si>
  <si>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</si>
  <si>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</si>
  <si>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</si>
  <si>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</si>
  <si>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</si>
  <si>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</si>
  <si>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</si>
  <si>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</si>
  <si>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</si>
  <si>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</si>
  <si>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</si>
  <si>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</si>
  <si>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</si>
  <si>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</si>
  <si>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</si>
  <si>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</si>
  <si>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</si>
  <si>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</si>
  <si>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</si>
  <si>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</si>
  <si>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</si>
  <si>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</si>
  <si>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</si>
  <si>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</si>
  <si>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</si>
  <si>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</si>
  <si>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</si>
  <si>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</si>
  <si>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</si>
  <si>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</si>
  <si>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</si>
  <si>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</si>
  <si>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</si>
  <si>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</si>
  <si>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</si>
  <si>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</si>
  <si>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</si>
  <si>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</si>
  <si>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</si>
  <si>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</si>
  <si>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</si>
  <si>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</si>
  <si>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</si>
  <si>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</si>
  <si>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</si>
  <si>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</si>
  <si>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</si>
  <si>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</si>
  <si>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</si>
  <si>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</si>
  <si>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</si>
  <si>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</si>
  <si>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</si>
  <si>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</si>
  <si>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</si>
  <si>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</si>
  <si>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</si>
  <si>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</si>
  <si>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</si>
  <si>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</si>
  <si>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</si>
  <si>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</si>
  <si>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</si>
  <si>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</si>
  <si>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</si>
  <si>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</si>
  <si>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</si>
  <si>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</si>
  <si>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</si>
  <si>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</si>
  <si>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</si>
  <si>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</si>
  <si>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</si>
  <si>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</si>
  <si>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</si>
  <si>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</si>
  <si>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</si>
  <si>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</si>
  <si>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</si>
  <si>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</si>
  <si>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</si>
  <si>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</si>
  <si>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</si>
  <si>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</si>
  <si>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</si>
  <si>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</si>
  <si>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</si>
  <si>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</si>
  <si>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</si>
  <si>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</si>
  <si>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</si>
  <si>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</si>
  <si>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</si>
  <si>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</si>
  <si>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</si>
  <si>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</si>
  <si>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</si>
  <si>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</si>
  <si>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</si>
  <si>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</si>
  <si>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</si>
  <si>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</si>
  <si>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</si>
  <si>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</si>
  <si>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</si>
  <si>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</si>
  <si>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</si>
  <si>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</si>
  <si>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</si>
  <si>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</si>
  <si>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</si>
  <si>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</si>
  <si>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</si>
  <si>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</si>
  <si>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</si>
  <si>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</si>
  <si>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</si>
  <si>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</si>
  <si>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</si>
  <si>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</si>
  <si>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</si>
  <si>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</si>
  <si>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</si>
  <si>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</si>
  <si>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</si>
  <si>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</si>
  <si>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</si>
  <si>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</si>
  <si>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</si>
  <si>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</si>
  <si>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</si>
  <si>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</si>
  <si>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</si>
  <si>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</si>
  <si>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</si>
  <si>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</si>
  <si>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</si>
  <si>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</si>
  <si>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</si>
  <si>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</si>
  <si>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</si>
  <si>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</si>
  <si>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</si>
  <si>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</si>
  <si>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</si>
  <si>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</si>
  <si>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</si>
  <si>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</si>
  <si>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</si>
  <si>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</si>
  <si>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</si>
  <si>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</si>
  <si>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</si>
  <si>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</si>
  <si>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</si>
  <si>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</si>
  <si>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</si>
  <si>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</si>
  <si>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</si>
  <si>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</si>
  <si>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</si>
  <si>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</si>
  <si>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</si>
  <si>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</si>
  <si>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</si>
  <si>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</si>
  <si>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</si>
  <si>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</si>
  <si>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</si>
  <si>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</si>
  <si>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</si>
  <si>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</si>
  <si>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</si>
  <si>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</si>
  <si>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</si>
  <si>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</si>
  <si>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</si>
  <si>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</si>
  <si>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</si>
  <si>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</si>
  <si>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</si>
  <si>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</si>
  <si>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</si>
  <si>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</si>
  <si>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</si>
  <si>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</si>
  <si>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</si>
  <si>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</si>
  <si>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</si>
  <si>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</si>
  <si>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</si>
  <si>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</si>
  <si>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</si>
  <si>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</si>
  <si>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</si>
  <si>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</si>
  <si>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</si>
  <si>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</si>
  <si>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</si>
  <si>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</si>
  <si>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</si>
  <si>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</si>
  <si>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</si>
  <si>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</si>
  <si>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</si>
  <si>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</si>
  <si>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</si>
  <si>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</si>
  <si>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</si>
  <si>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</si>
  <si>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</si>
  <si>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</si>
  <si>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</si>
  <si>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</si>
  <si>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</si>
  <si>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</si>
  <si>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</si>
  <si>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</si>
  <si>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</si>
  <si>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</si>
  <si>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</si>
  <si>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</si>
  <si>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</si>
  <si>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</si>
  <si>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</si>
  <si>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</si>
  <si>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</si>
  <si>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</si>
  <si>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</si>
  <si>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</si>
  <si>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</si>
  <si>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</si>
  <si>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</si>
  <si>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</si>
  <si>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</si>
  <si>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</si>
  <si>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</si>
  <si>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</si>
  <si>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</si>
  <si>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</si>
  <si>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</si>
  <si>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</si>
  <si>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</si>
  <si>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</si>
  <si>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</si>
  <si>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</si>
  <si>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</si>
  <si>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</si>
  <si>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</si>
  <si>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</si>
  <si>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</si>
  <si>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</si>
  <si>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</si>
  <si>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</si>
  <si>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</si>
  <si>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</si>
  <si>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</si>
  <si>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</si>
  <si>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</si>
  <si>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</si>
  <si>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</si>
  <si>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</si>
  <si>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</si>
  <si>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</si>
  <si>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</si>
  <si>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</si>
  <si>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</si>
  <si>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</si>
  <si>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</si>
  <si>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</si>
  <si>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</si>
  <si>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</si>
  <si>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</si>
  <si>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</si>
  <si>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</si>
  <si>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</si>
  <si>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</si>
  <si>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</si>
  <si>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</si>
  <si>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</si>
  <si>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</si>
  <si>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</si>
  <si>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</si>
  <si>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</si>
  <si>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</si>
  <si>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</si>
  <si>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</si>
  <si>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</si>
  <si>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</si>
  <si>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</si>
  <si>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</si>
  <si>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</si>
  <si>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</si>
  <si>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</si>
  <si>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</si>
  <si>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</si>
  <si>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</si>
  <si>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</si>
  <si>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</si>
  <si>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</si>
  <si>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</si>
  <si>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</si>
  <si>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</si>
  <si>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</si>
  <si>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</si>
  <si>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</si>
  <si>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</si>
  <si>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</si>
  <si>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</si>
  <si>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</si>
  <si>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</si>
  <si>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</si>
  <si>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</si>
  <si>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</si>
  <si>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</si>
  <si>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</si>
  <si>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</si>
  <si>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</si>
  <si>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</si>
  <si>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</si>
  <si>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</si>
  <si>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</si>
  <si>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</si>
  <si>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</si>
  <si>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</si>
  <si>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</si>
  <si>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</si>
  <si>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</si>
  <si>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</si>
  <si>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</si>
  <si>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</si>
  <si>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</si>
  <si>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</si>
  <si>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</si>
  <si>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</si>
  <si>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</si>
  <si>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</si>
  <si>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</si>
  <si>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</si>
  <si>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</si>
  <si>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</si>
  <si>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</si>
  <si>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</si>
  <si>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</si>
  <si>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</si>
  <si>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</si>
  <si>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</si>
  <si>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</si>
  <si>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</si>
  <si>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</si>
  <si>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</si>
  <si>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</si>
  <si>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</si>
  <si>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</si>
  <si>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</si>
  <si>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</si>
  <si>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</si>
  <si>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</si>
  <si>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</si>
  <si>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</si>
  <si>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</si>
  <si>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</si>
  <si>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</si>
  <si>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</si>
  <si>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</si>
  <si>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</si>
  <si>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</si>
  <si>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</si>
  <si>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</si>
  <si>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</si>
  <si>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</si>
  <si>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</si>
  <si>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</si>
  <si>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</si>
  <si>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</si>
  <si>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</si>
  <si>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</si>
  <si>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</si>
  <si>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</si>
  <si>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</si>
  <si>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</si>
  <si>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</si>
  <si>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</si>
  <si>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</si>
  <si>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</si>
  <si>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</si>
  <si>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</si>
  <si>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</si>
  <si>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</si>
  <si>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</si>
  <si>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</si>
  <si>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</si>
  <si>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</si>
  <si>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</si>
  <si>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</si>
  <si>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</si>
  <si>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</si>
  <si>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</si>
  <si>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</si>
  <si>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</si>
  <si>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</si>
  <si>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</si>
  <si>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</si>
  <si>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</si>
  <si>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</si>
  <si>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</si>
  <si>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</si>
  <si>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</si>
  <si>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</si>
  <si>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</si>
  <si>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</si>
  <si>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</si>
  <si>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</si>
  <si>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</si>
  <si>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</si>
  <si>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</si>
  <si>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</si>
  <si>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</si>
  <si>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</si>
  <si>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</si>
  <si>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</si>
  <si>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</si>
  <si>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</si>
  <si>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</si>
  <si>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</si>
  <si>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</si>
  <si>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</si>
  <si>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</si>
  <si>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</si>
  <si>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</si>
  <si>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</si>
  <si>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</si>
  <si>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</si>
  <si>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</si>
  <si>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</si>
  <si>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</si>
  <si>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</si>
  <si>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</si>
  <si>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</si>
  <si>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</si>
  <si>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</si>
  <si>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</si>
  <si>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</si>
  <si>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</si>
  <si>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</si>
  <si>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</si>
  <si>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</si>
  <si>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</si>
  <si>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</si>
  <si>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</si>
  <si>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</si>
  <si>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</si>
  <si>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</si>
  <si>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</si>
  <si>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</si>
  <si>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</si>
  <si>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</si>
  <si>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</si>
  <si>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</si>
  <si>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</si>
  <si>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</si>
  <si>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</si>
  <si>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</si>
  <si>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</si>
  <si>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</si>
  <si>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</si>
  <si>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</si>
  <si>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</si>
  <si>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</si>
  <si>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</si>
  <si>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</si>
  <si>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</si>
  <si>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</si>
  <si>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</si>
  <si>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</si>
  <si>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</si>
  <si>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</si>
  <si>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</si>
  <si>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</si>
  <si>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</si>
  <si>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</si>
  <si>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</si>
  <si>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</si>
  <si>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</si>
  <si>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</si>
  <si>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</si>
  <si>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</si>
  <si>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</si>
  <si>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</si>
  <si>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</si>
  <si>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</si>
  <si>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</si>
  <si>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</si>
  <si>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</si>
  <si>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</si>
  <si>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</si>
  <si>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</si>
  <si>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</si>
  <si>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</si>
  <si>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</si>
  <si>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</si>
  <si>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</si>
  <si>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</si>
  <si>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</si>
  <si>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</si>
  <si>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</si>
  <si>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</si>
  <si>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</si>
  <si>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</si>
  <si>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</si>
  <si>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</si>
  <si>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</si>
  <si>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</si>
  <si>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</si>
  <si>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</si>
  <si>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</si>
  <si>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</si>
  <si>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</si>
  <si>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</si>
  <si>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</si>
  <si>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</si>
  <si>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</si>
  <si>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</si>
  <si>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</si>
  <si>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</si>
  <si>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</si>
  <si>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</si>
  <si>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</si>
  <si>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</si>
  <si>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</si>
  <si>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</si>
  <si>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</si>
  <si>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</si>
  <si>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</si>
  <si>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</si>
  <si>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</si>
  <si>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</si>
  <si>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</si>
  <si>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</si>
  <si>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</si>
  <si>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</si>
  <si>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</si>
  <si>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</si>
  <si>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</si>
  <si>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</si>
  <si>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</si>
  <si>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</si>
  <si>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</si>
  <si>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</si>
  <si>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</si>
  <si>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</si>
  <si>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</si>
  <si>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</si>
  <si>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</si>
  <si>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</si>
  <si>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</si>
  <si>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</si>
  <si>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</si>
  <si>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</si>
  <si>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</si>
  <si>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</si>
  <si>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</si>
  <si>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</si>
  <si>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</si>
  <si>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</si>
  <si>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</si>
  <si>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</si>
  <si>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</si>
  <si>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</si>
  <si>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</si>
  <si>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</si>
  <si>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</si>
  <si>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</si>
  <si>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</si>
  <si>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</si>
  <si>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</si>
  <si>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</si>
  <si>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</si>
  <si>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</si>
  <si>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</si>
  <si>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</si>
  <si>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</si>
  <si>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</si>
  <si>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</si>
  <si>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</si>
  <si>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</si>
  <si>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</si>
  <si>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</si>
  <si>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</si>
  <si>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</si>
  <si>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</si>
  <si>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</si>
  <si>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</si>
  <si>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</si>
  <si>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</si>
  <si>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</si>
  <si>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</si>
  <si>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</si>
  <si>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</si>
  <si>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</si>
  <si>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</si>
  <si>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</si>
  <si>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</si>
  <si>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</si>
  <si>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</si>
  <si>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</si>
  <si>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</si>
  <si>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</si>
  <si>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</si>
  <si>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</si>
  <si>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</si>
  <si>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</si>
  <si>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</si>
  <si>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</si>
  <si>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</si>
  <si>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</si>
  <si>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</si>
  <si>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</si>
  <si>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</si>
  <si>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</si>
  <si>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</si>
  <si>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</si>
  <si>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</si>
  <si>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</si>
  <si>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</si>
  <si>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</si>
  <si>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</si>
  <si>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</si>
  <si>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</si>
  <si>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</si>
  <si>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</si>
  <si>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</si>
  <si>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</si>
  <si>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</si>
  <si>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</si>
  <si>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</si>
  <si>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</si>
  <si>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</si>
  <si>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</si>
  <si>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</si>
  <si>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</si>
  <si>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</si>
  <si>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</si>
  <si>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</si>
  <si>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</si>
  <si>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</si>
  <si>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</si>
  <si>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</si>
  <si>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</si>
  <si>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</si>
  <si>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</si>
  <si>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</si>
  <si>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</si>
  <si>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</si>
  <si>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</si>
  <si>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</si>
  <si>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</si>
  <si>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</si>
  <si>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</si>
  <si>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</si>
  <si>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</si>
  <si>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</si>
  <si>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</si>
  <si>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</si>
  <si>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</si>
  <si>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</si>
  <si>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</si>
  <si>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</si>
  <si>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</si>
  <si>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</si>
  <si>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</si>
  <si>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</si>
  <si>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</si>
  <si>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</si>
  <si>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</si>
  <si>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</si>
  <si>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</si>
  <si>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</si>
  <si>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</si>
  <si>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</si>
  <si>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</si>
  <si>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</si>
  <si>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</si>
  <si>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</si>
  <si>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</si>
  <si>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</si>
  <si>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</si>
  <si>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</si>
  <si>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</si>
  <si>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</si>
  <si>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</si>
  <si>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</si>
  <si>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</si>
  <si>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</si>
  <si>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</si>
  <si>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</si>
  <si>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</si>
  <si>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</si>
  <si>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</si>
  <si>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</si>
  <si>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</si>
  <si>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</si>
  <si>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</si>
  <si>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</si>
  <si>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</si>
  <si>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</si>
  <si>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</si>
  <si>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</si>
  <si>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</si>
  <si>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</si>
  <si>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</si>
  <si>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</si>
  <si>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</si>
  <si>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</si>
  <si>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</si>
  <si>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</si>
  <si>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</si>
  <si>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</si>
  <si>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</si>
  <si>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</si>
  <si>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</si>
  <si>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</si>
  <si>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</si>
  <si>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</si>
  <si>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</si>
  <si>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</si>
  <si>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</si>
  <si>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</si>
  <si>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</si>
  <si>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</si>
  <si>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</si>
  <si>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</si>
  <si>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</si>
  <si>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</si>
  <si>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</si>
  <si>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</si>
  <si>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</si>
  <si>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</si>
  <si>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</si>
  <si>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</si>
  <si>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</si>
  <si>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</si>
  <si>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</si>
  <si>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</si>
  <si>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</si>
  <si>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</si>
  <si>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</si>
  <si>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</si>
  <si>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</si>
  <si>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</si>
  <si>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</si>
  <si>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</si>
  <si>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</si>
  <si>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</si>
  <si>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</si>
  <si>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</si>
  <si>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</si>
  <si>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</si>
  <si>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</si>
  <si>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</si>
  <si>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</si>
  <si>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</si>
  <si>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</si>
  <si>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</si>
  <si>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</si>
  <si>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</si>
  <si>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</si>
  <si>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</si>
  <si>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</si>
  <si>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</si>
  <si>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</si>
  <si>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</si>
  <si>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</si>
  <si>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</si>
  <si>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</si>
  <si>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</si>
  <si>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</si>
  <si>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</si>
  <si>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</si>
  <si>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</si>
  <si>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</si>
  <si>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</si>
  <si>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</si>
  <si>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</si>
  <si>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</si>
  <si>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</si>
  <si>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</si>
  <si>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</si>
  <si>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</si>
  <si>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</si>
  <si>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</si>
  <si>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</si>
  <si>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</si>
  <si>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</si>
  <si>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</si>
  <si>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</si>
  <si>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</si>
  <si>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</si>
  <si>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</si>
  <si>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</si>
  <si>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</si>
  <si>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</si>
  <si>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</si>
  <si>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</si>
  <si>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</si>
  <si>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</si>
  <si>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</si>
  <si>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</si>
  <si>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</si>
  <si>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</si>
  <si>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</si>
  <si>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</si>
  <si>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</si>
  <si>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</si>
  <si>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</si>
  <si>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</si>
  <si>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</si>
  <si>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</si>
  <si>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</si>
  <si>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</si>
  <si>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</si>
  <si>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</si>
  <si>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</si>
  <si>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</si>
  <si>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</si>
  <si>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</si>
  <si>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</si>
  <si>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</si>
  <si>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</si>
  <si>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</si>
  <si>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</si>
  <si>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</si>
  <si>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</si>
  <si>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</si>
  <si>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</si>
  <si>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</si>
  <si>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</si>
  <si>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</si>
  <si>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</si>
  <si>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</si>
  <si>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</si>
  <si>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</si>
  <si>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</si>
  <si>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</si>
  <si>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</si>
  <si>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</si>
  <si>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</si>
  <si>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</si>
  <si>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</si>
  <si>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</si>
  <si>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</si>
  <si>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</si>
  <si>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</si>
  <si>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</si>
  <si>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</si>
  <si>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</si>
  <si>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</si>
  <si>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</si>
  <si>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</si>
  <si>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</si>
  <si>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</si>
  <si>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</si>
  <si>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</si>
  <si>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</si>
  <si>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</si>
  <si>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</si>
  <si>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</si>
  <si>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</si>
  <si>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</si>
  <si>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</si>
  <si>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</si>
  <si>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</si>
  <si>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</si>
  <si>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</si>
  <si>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</si>
  <si>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</si>
  <si>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</si>
  <si>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</si>
  <si>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</si>
  <si>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</si>
  <si>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</si>
  <si>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</si>
  <si>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</si>
  <si>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</si>
  <si>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</si>
  <si>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</si>
  <si>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</si>
  <si>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</si>
  <si>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</si>
  <si>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</si>
  <si>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</si>
  <si>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</si>
  <si>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</si>
  <si>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</si>
  <si>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</si>
  <si>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</si>
  <si>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</si>
  <si>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</si>
  <si>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</si>
  <si>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</si>
  <si>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</si>
  <si>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</si>
  <si>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</si>
  <si>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</si>
  <si>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</si>
  <si>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</si>
  <si>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</si>
  <si>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</si>
  <si>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</si>
  <si>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</si>
  <si>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</si>
  <si>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</si>
  <si>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</si>
  <si>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</si>
  <si>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</si>
  <si>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</si>
  <si>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</si>
  <si>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</si>
  <si>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</si>
  <si>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</si>
  <si>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</si>
  <si>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</si>
  <si>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</si>
  <si>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</si>
  <si>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</si>
  <si>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</si>
  <si>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</si>
  <si>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</si>
  <si>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</si>
  <si>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</si>
  <si>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</si>
  <si>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</si>
  <si>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</si>
  <si>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</si>
  <si>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</si>
  <si>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</si>
  <si>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</si>
  <si>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</si>
  <si>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</si>
  <si>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</si>
  <si>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</si>
  <si>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</si>
  <si>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</si>
  <si>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</si>
  <si>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</si>
  <si>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</si>
  <si>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</si>
  <si>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</si>
  <si>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</si>
  <si>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</si>
  <si>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</si>
  <si>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</si>
  <si>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</si>
  <si>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</si>
  <si>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</si>
  <si>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</si>
  <si>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</si>
  <si>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</si>
  <si>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</si>
  <si>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</si>
  <si>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</si>
  <si>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</si>
  <si>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</si>
  <si>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</si>
  <si>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</si>
  <si>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</si>
  <si>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</si>
  <si>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</si>
  <si>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</si>
  <si>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</si>
  <si>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</si>
  <si>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</si>
  <si>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</si>
  <si>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</si>
  <si>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</si>
  <si>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</si>
  <si>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</si>
  <si>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</si>
  <si>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</si>
  <si>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</si>
  <si>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</si>
  <si>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</si>
  <si>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</si>
  <si>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</si>
  <si>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</si>
  <si>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</si>
  <si>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</si>
  <si>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</si>
  <si>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</si>
  <si>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</si>
  <si>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</si>
  <si>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</si>
  <si>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</si>
  <si>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</si>
  <si>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</si>
  <si>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</si>
  <si>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</si>
  <si>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</si>
  <si>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</si>
  <si>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</si>
  <si>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</si>
  <si>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</si>
  <si>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</si>
  <si>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</si>
  <si>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</si>
  <si>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</si>
  <si>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</si>
  <si>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</si>
  <si>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</si>
  <si>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</si>
  <si>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</si>
  <si>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</si>
  <si>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</si>
  <si>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</si>
  <si>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</si>
  <si>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</si>
  <si>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</si>
  <si>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</si>
  <si>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</si>
  <si>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</si>
  <si>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</si>
  <si>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</si>
  <si>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</si>
  <si>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</si>
  <si>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</si>
  <si>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</si>
  <si>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</si>
  <si>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</si>
  <si>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</si>
  <si>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</si>
  <si>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</si>
  <si>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</si>
  <si>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</si>
  <si>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</si>
  <si>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</si>
  <si>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</si>
  <si>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</si>
  <si>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</si>
  <si>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</si>
  <si>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</si>
  <si>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</si>
  <si>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</si>
  <si>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</si>
  <si>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</si>
  <si>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</si>
  <si>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</si>
  <si>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</si>
  <si>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</si>
  <si>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</si>
  <si>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</si>
  <si>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</si>
  <si>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</si>
  <si>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</si>
  <si>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</si>
  <si>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</si>
  <si>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</si>
  <si>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</si>
  <si>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</si>
  <si>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</si>
  <si>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</si>
  <si>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</si>
  <si>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</si>
  <si>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</si>
  <si>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</si>
  <si>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</si>
  <si>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</si>
  <si>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</si>
  <si>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</si>
  <si>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</si>
  <si>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</si>
  <si>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</si>
  <si>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</si>
  <si>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</si>
  <si>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</si>
  <si>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</si>
  <si>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</si>
  <si>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</si>
  <si>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</si>
  <si>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</si>
  <si>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</si>
  <si>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</si>
  <si>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</si>
  <si>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</si>
  <si>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</si>
  <si>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</si>
  <si>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</si>
  <si>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</si>
  <si>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</si>
  <si>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</si>
  <si>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</si>
  <si>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</si>
  <si>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</si>
  <si>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</si>
  <si>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</si>
  <si>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</si>
  <si>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</si>
  <si>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</si>
  <si>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</si>
  <si>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</si>
  <si>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</si>
  <si>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</si>
  <si>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</si>
  <si>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</si>
  <si>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</si>
  <si>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</si>
  <si>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</si>
  <si>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</si>
  <si>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</si>
  <si>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</si>
  <si>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</si>
  <si>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</si>
  <si>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</si>
  <si>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</si>
  <si>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</si>
  <si>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</si>
  <si>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</si>
  <si>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</si>
  <si>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</si>
  <si>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</si>
  <si>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</si>
  <si>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</si>
  <si>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</si>
  <si>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</si>
  <si>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</si>
  <si>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</si>
  <si>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</si>
  <si>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</si>
  <si>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</si>
  <si>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</si>
  <si>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</si>
  <si>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</si>
  <si>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</si>
  <si>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</si>
  <si>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</si>
  <si>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</si>
  <si>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</si>
  <si>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</si>
  <si>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</si>
  <si>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</si>
  <si>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</si>
  <si>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</si>
  <si>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</si>
  <si>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</si>
  <si>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</si>
  <si>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</si>
  <si>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</si>
  <si>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</si>
  <si>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</si>
  <si>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</si>
  <si>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</si>
  <si>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</si>
  <si>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</si>
  <si>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</si>
  <si>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</si>
  <si>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</si>
  <si>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</si>
  <si>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</si>
  <si>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</si>
  <si>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</si>
  <si>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</si>
  <si>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</si>
  <si>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</si>
  <si>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</si>
  <si>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</si>
  <si>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</si>
  <si>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</si>
  <si>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</si>
  <si>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</si>
  <si>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</si>
  <si>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</si>
  <si>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</si>
  <si>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</si>
  <si>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</si>
  <si>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</si>
  <si>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</si>
  <si>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</si>
  <si>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</si>
  <si>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</si>
  <si>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</si>
  <si>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</si>
  <si>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</si>
  <si>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</si>
  <si>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</si>
  <si>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</si>
  <si>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</si>
  <si>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</si>
  <si>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</si>
  <si>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</si>
  <si>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</si>
  <si>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</si>
  <si>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</si>
  <si>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</si>
  <si>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</si>
  <si>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</si>
  <si>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</si>
  <si>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</si>
  <si>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</si>
  <si>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</si>
  <si>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</si>
  <si>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</si>
  <si>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</si>
  <si>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</si>
  <si>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</si>
  <si>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</si>
  <si>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</si>
  <si>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</si>
  <si>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</si>
  <si>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</si>
  <si>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</si>
  <si>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</si>
  <si>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</si>
  <si>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</si>
  <si>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</si>
  <si>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</si>
  <si>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</si>
  <si>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</si>
  <si>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</si>
  <si>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</si>
  <si>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</si>
  <si>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</si>
  <si>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</si>
  <si>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</si>
  <si>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</si>
  <si>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</si>
  <si>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</si>
  <si>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</si>
  <si>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</si>
  <si>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</si>
  <si>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</si>
  <si>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</si>
  <si>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</si>
  <si>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</si>
  <si>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</si>
  <si>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</si>
  <si>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</si>
  <si>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</si>
  <si>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</si>
  <si>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</si>
  <si>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</si>
  <si>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</si>
  <si>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</si>
  <si>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</si>
  <si>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</si>
  <si>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</si>
  <si>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</si>
  <si>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</si>
  <si>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</si>
  <si>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</si>
  <si>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</si>
  <si>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</si>
  <si>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</si>
  <si>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</si>
  <si>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</si>
  <si>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</si>
  <si>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</si>
  <si>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</si>
  <si>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</si>
  <si>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</si>
  <si>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</si>
  <si>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</si>
  <si>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</si>
  <si>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</si>
  <si>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</si>
  <si>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</si>
  <si>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</si>
  <si>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</si>
  <si>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</si>
  <si>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</si>
  <si>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</si>
  <si>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</si>
  <si>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</si>
  <si>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</si>
  <si>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</si>
  <si>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</si>
  <si>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</si>
  <si>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</si>
  <si>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</si>
  <si>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</si>
  <si>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</si>
  <si>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</si>
  <si>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</si>
  <si>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</si>
  <si>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</si>
  <si>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</si>
  <si>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</si>
  <si>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</si>
  <si>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</si>
  <si>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</si>
  <si>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</si>
  <si>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</si>
  <si>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</si>
  <si>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</si>
  <si>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</si>
  <si>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</si>
  <si>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</si>
  <si>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</si>
  <si>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</si>
  <si>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</si>
  <si>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</si>
  <si>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</si>
  <si>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</si>
  <si>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</si>
  <si>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</si>
  <si>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</si>
  <si>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</si>
  <si>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</si>
  <si>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</si>
  <si>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</si>
  <si>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</si>
  <si>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</si>
  <si>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</si>
  <si>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</si>
  <si>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</si>
  <si>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</si>
  <si>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</si>
  <si>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</si>
  <si>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</si>
  <si>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</si>
  <si>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</si>
  <si>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</si>
  <si>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</si>
  <si>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</si>
  <si>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</si>
  <si>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</si>
  <si>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</si>
  <si>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</si>
  <si>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</si>
  <si>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</si>
  <si>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</si>
  <si>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</si>
  <si>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</si>
  <si>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</si>
  <si>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</si>
  <si>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</si>
  <si>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</si>
  <si>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</si>
  <si>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</si>
  <si>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</si>
  <si>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</si>
  <si>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</si>
  <si>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</si>
  <si>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</si>
  <si>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</si>
  <si>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</si>
  <si>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</si>
  <si>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</si>
  <si>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</si>
  <si>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</si>
  <si>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</si>
  <si>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</si>
  <si>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</si>
  <si>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</si>
  <si>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</si>
  <si>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</si>
  <si>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</si>
  <si>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</si>
  <si>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</si>
  <si>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</si>
  <si>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</si>
  <si>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</si>
  <si>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</si>
  <si>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</si>
  <si>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</si>
  <si>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</si>
  <si>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</si>
  <si>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</si>
  <si>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</si>
  <si>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</si>
  <si>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</si>
  <si>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</si>
  <si>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</si>
  <si>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</si>
  <si>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</si>
  <si>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</si>
  <si>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</si>
  <si>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</si>
  <si>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</si>
  <si>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</si>
  <si>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</si>
  <si>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</si>
  <si>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</si>
  <si>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</si>
  <si>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</si>
  <si>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</si>
  <si>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</si>
  <si>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</si>
  <si>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</si>
  <si>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</si>
  <si>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</si>
  <si>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</si>
  <si>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</si>
  <si>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</si>
  <si>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</si>
  <si>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</si>
  <si>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</si>
  <si>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</si>
  <si>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</si>
  <si>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</si>
  <si>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</si>
  <si>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</si>
  <si>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</si>
  <si>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</si>
  <si>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</si>
  <si>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</si>
  <si>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</si>
  <si>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</si>
  <si>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</si>
  <si>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</si>
  <si>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</si>
  <si>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</si>
  <si>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</si>
  <si>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</si>
  <si>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</si>
  <si>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</si>
  <si>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</si>
  <si>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</si>
  <si>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</si>
  <si>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</si>
  <si>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</si>
  <si>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</si>
  <si>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</si>
  <si>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</si>
  <si>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</si>
  <si>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</si>
  <si>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</si>
  <si>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</si>
  <si>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</si>
  <si>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</si>
  <si>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</si>
  <si>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</si>
  <si>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</si>
  <si>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</si>
  <si>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</si>
  <si>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</si>
  <si>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</si>
  <si>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</si>
  <si>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</si>
  <si>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</si>
  <si>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</si>
  <si>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</si>
  <si>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</si>
  <si>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</si>
  <si>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</si>
  <si>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</si>
  <si>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</si>
  <si>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</si>
  <si>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</si>
  <si>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</si>
  <si>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</si>
  <si>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</si>
  <si>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</si>
  <si>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</si>
  <si>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</si>
  <si>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</si>
  <si>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</si>
  <si>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</si>
  <si>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</si>
  <si>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</si>
  <si>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</si>
  <si>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</si>
  <si>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</si>
  <si>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</si>
  <si>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</si>
  <si>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</si>
  <si>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</si>
  <si>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</si>
  <si>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</si>
  <si>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</si>
  <si>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</si>
  <si>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</si>
  <si>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</si>
  <si>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</si>
  <si>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</si>
  <si>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</si>
  <si>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</si>
  <si>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</si>
  <si>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</si>
  <si>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</si>
  <si>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</si>
  <si>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</si>
  <si>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</si>
  <si>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</si>
  <si>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</si>
  <si>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</si>
  <si>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</si>
  <si>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</si>
  <si>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</si>
  <si>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</si>
  <si>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</si>
  <si>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</si>
  <si>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</si>
  <si>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</si>
  <si>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</si>
  <si>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</si>
  <si>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</si>
  <si>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</si>
  <si>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</si>
  <si>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</si>
  <si>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</si>
  <si>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</si>
  <si>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</si>
  <si>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</si>
  <si>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</si>
  <si>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</si>
  <si>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</si>
  <si>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</si>
  <si>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</si>
  <si>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</si>
  <si>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</si>
  <si>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</si>
  <si>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</si>
  <si>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</si>
  <si>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</si>
  <si>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</si>
  <si>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</si>
  <si>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</si>
  <si>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</si>
  <si>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</si>
  <si>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</si>
  <si>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</si>
  <si>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</si>
  <si>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</si>
  <si>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</si>
  <si>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</si>
  <si>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</si>
  <si>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</si>
  <si>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</si>
  <si>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</si>
  <si>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</si>
  <si>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</si>
  <si>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</si>
  <si>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</si>
  <si>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</si>
  <si>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</si>
  <si>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</si>
  <si>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</si>
  <si>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</si>
  <si>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</si>
  <si>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</si>
  <si>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</si>
  <si>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</si>
  <si>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</si>
  <si>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</si>
  <si>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</si>
  <si>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</si>
  <si>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</si>
  <si>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</si>
  <si>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</si>
  <si>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</si>
  <si>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</si>
  <si>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</si>
  <si>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</si>
  <si>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</si>
  <si>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</si>
  <si>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</si>
  <si>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</si>
  <si>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</si>
  <si>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</si>
  <si>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</si>
  <si>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</si>
  <si>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</si>
  <si>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</si>
  <si>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</si>
  <si>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</si>
  <si>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</si>
  <si>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</si>
  <si>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</si>
  <si>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</si>
  <si>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</si>
  <si>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</si>
  <si>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</si>
  <si>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</si>
  <si>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</si>
  <si>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</si>
  <si>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</si>
  <si>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</si>
  <si>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</si>
  <si>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</si>
  <si>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</si>
  <si>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</si>
  <si>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</si>
  <si>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</si>
  <si>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</si>
  <si>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</si>
  <si>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</si>
  <si>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</si>
  <si>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</si>
  <si>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</si>
  <si>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</si>
  <si>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</si>
  <si>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</si>
  <si>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</si>
  <si>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</si>
  <si>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</si>
  <si>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</si>
  <si>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</si>
  <si>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</si>
  <si>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</si>
  <si>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</si>
  <si>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</si>
  <si>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</si>
  <si>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</si>
  <si>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</si>
  <si>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</si>
  <si>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</si>
  <si>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</si>
  <si>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</si>
  <si>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</si>
  <si>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</si>
  <si>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</si>
  <si>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</si>
  <si>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</si>
  <si>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</si>
  <si>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</si>
  <si>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</si>
  <si>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</si>
  <si>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</si>
  <si>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</si>
  <si>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</si>
  <si>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</si>
  <si>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</si>
  <si>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</si>
  <si>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</si>
  <si>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</si>
  <si>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</si>
  <si>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</si>
  <si>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</si>
  <si>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</si>
  <si>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</si>
  <si>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</si>
  <si>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</si>
  <si>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</si>
  <si>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</si>
  <si>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</si>
  <si>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</si>
  <si>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</si>
  <si>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</si>
  <si>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</si>
  <si>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</si>
  <si>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</si>
  <si>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</si>
  <si>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</si>
  <si>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</si>
  <si>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</si>
  <si>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</si>
  <si>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</si>
  <si>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</si>
  <si>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</si>
  <si>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</si>
  <si>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</si>
  <si>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</si>
  <si>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</si>
  <si>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</si>
  <si>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</si>
  <si>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</si>
  <si>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</si>
  <si>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</si>
  <si>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</si>
  <si>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</si>
  <si>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</si>
  <si>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</si>
  <si>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</si>
  <si>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</si>
  <si>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</si>
  <si>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</si>
  <si>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</si>
  <si>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</si>
  <si>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</si>
  <si>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</si>
  <si>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</si>
  <si>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</si>
  <si>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</si>
  <si>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</si>
  <si>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</si>
  <si>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</si>
  <si>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</si>
  <si>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</si>
  <si>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</si>
  <si>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</si>
  <si>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</si>
  <si>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</si>
  <si>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</si>
  <si>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</si>
  <si>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</si>
  <si>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</si>
  <si>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</si>
  <si>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</si>
  <si>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</si>
  <si>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</si>
  <si>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</si>
  <si>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</si>
  <si>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</si>
  <si>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</si>
  <si>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</si>
  <si>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</si>
  <si>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</si>
  <si>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</si>
  <si>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</si>
  <si>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</si>
  <si>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</si>
  <si>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</si>
  <si>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</si>
  <si>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</si>
  <si>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</si>
  <si>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</si>
  <si>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</si>
  <si>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</si>
  <si>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</si>
  <si>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</si>
  <si>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</si>
  <si>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</si>
  <si>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</si>
  <si>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</si>
  <si>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</si>
  <si>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</si>
  <si>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</si>
  <si>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</si>
  <si>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</si>
  <si>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</si>
  <si>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</si>
  <si>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</si>
  <si>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</si>
  <si>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</si>
  <si>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</si>
  <si>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</si>
  <si>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</si>
  <si>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</si>
  <si>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</si>
  <si>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</si>
  <si>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</si>
  <si>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</si>
  <si>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</si>
  <si>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</si>
  <si>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</si>
  <si>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</si>
  <si>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</si>
  <si>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</si>
  <si>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</si>
  <si>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</si>
  <si>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</si>
  <si>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</si>
  <si>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</si>
  <si>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</si>
  <si>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</si>
  <si>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</si>
  <si>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</si>
  <si>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</si>
  <si>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</si>
  <si>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</si>
  <si>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</si>
  <si>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</si>
  <si>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</si>
  <si>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</si>
  <si>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</si>
  <si>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</si>
  <si>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</si>
  <si>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</si>
  <si>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</si>
  <si>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</si>
  <si>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</si>
  <si>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</si>
  <si>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</si>
  <si>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</si>
  <si>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</si>
  <si>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</si>
  <si>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</si>
  <si>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</si>
  <si>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</si>
  <si>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</si>
  <si>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</si>
  <si>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</si>
  <si>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</si>
  <si>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</si>
  <si>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</si>
  <si>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</si>
  <si>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</si>
  <si>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</si>
  <si>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</si>
  <si>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</si>
  <si>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</si>
  <si>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</si>
  <si>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</si>
  <si>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</si>
  <si>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</si>
  <si>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</si>
  <si>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</si>
  <si>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</si>
  <si>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</si>
  <si>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</si>
  <si>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</si>
  <si>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</si>
  <si>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</si>
  <si>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</si>
  <si>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</si>
  <si>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</si>
  <si>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</si>
  <si>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</si>
  <si>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</si>
  <si>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</si>
  <si>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</si>
  <si>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</si>
  <si>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</si>
  <si>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</si>
  <si>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</si>
  <si>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</si>
  <si>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</si>
  <si>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</si>
  <si>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</si>
  <si>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</si>
  <si>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</si>
  <si>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</si>
  <si>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</si>
  <si>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</si>
  <si>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</si>
  <si>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</si>
  <si>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</si>
  <si>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</si>
  <si>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</si>
  <si>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</si>
  <si>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Types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</si>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</sst>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5">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0"/>
        <color theme="0"/>
        <name val="Calibri"/>
        <family val="2"/>
        <scheme val="minor"/>
      </font>
      <border diagonalUp="0" diagonalDown="0">
        <left/>
        <right/>
        <top/>
        <bottom/>
        <vertical/>
        <horizontal/>
      </border>
    </dxf>
    <dxf>
      <font>
        <b val="0"/>
        <i val="0"/>
        <sz val="10"/>
        <color theme="0"/>
        <name val="Calibri"/>
        <family val="2"/>
        <scheme val="minor"/>
      </font>
      <fill>
        <patternFill>
          <bgColor rgb="FF3C1464"/>
        </patternFill>
      </fill>
    </dxf>
    <dxf>
      <font>
        <b/>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s>
  <tableStyles count="2" defaultTableStyle="TableStyleMedium2" defaultPivotStyle="PivotStyleMedium9">
    <tableStyle name="purple timeline style" pivot="0" table="0" count="8" xr9:uid="{A74A51F0-44C3-48B1-AA5F-C5E814315642}">
      <tableStyleElement type="wholeTable" dxfId="14"/>
      <tableStyleElement type="headerRow" dxfId="13"/>
    </tableStyle>
    <tableStyle name="Slicer Style 1" pivot="0" table="0" count="5" xr9:uid="{D7D16DCD-E55B-4BA9-9B00-A0B909E3D904}">
      <tableStyleElement type="wholeTable" dxfId="12"/>
      <tableStyleElement type="headerRow" dxfId="11"/>
    </tableStyle>
  </tableStyles>
  <colors>
    <mruColors>
      <color rgb="FF85FFBC"/>
      <color rgb="FF09FF78"/>
      <color rgb="FF005828"/>
      <color rgb="FF9C0C95"/>
      <color rgb="FFF793F2"/>
      <color rgb="FF3C1464"/>
      <color rgb="FFD1B2F0"/>
      <color rgb="FF802BD5"/>
      <color rgb="FF6B3109"/>
      <color rgb="FFC59EEC"/>
    </mruColors>
  </colors>
  <extLst>
    <ext xmlns:x14="http://schemas.microsoft.com/office/spreadsheetml/2009/9/main" uri="{46F421CA-312F-682f-3DD2-61675219B42D}">
      <x14:dxfs count="3">
        <dxf>
          <font>
            <b/>
            <i val="0"/>
            <color theme="0"/>
            <name val="Agency FB"/>
            <family val="2"/>
            <scheme val="none"/>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802BD5"/>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Light"/>
            <family val="2"/>
            <scheme val="maj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Dashboards.xlsx]Total Sales!PivotTable1</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layout>
        <c:manualLayout>
          <c:xMode val="edge"/>
          <c:yMode val="edge"/>
          <c:x val="0.3820288161993769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B31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B31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B31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Sales'!$C$1:$C$2</c:f>
              <c:strCache>
                <c:ptCount val="1"/>
                <c:pt idx="0">
                  <c:v>Arabica</c:v>
                </c:pt>
              </c:strCache>
            </c:strRef>
          </c:tx>
          <c:spPr>
            <a:ln w="28575" cap="rnd">
              <a:solidFill>
                <a:srgbClr val="00B0F0"/>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Sales'!$C$3:$C$46</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79D-4896-9235-2B9336EEB460}"/>
            </c:ext>
          </c:extLst>
        </c:ser>
        <c:ser>
          <c:idx val="1"/>
          <c:order val="1"/>
          <c:tx>
            <c:strRef>
              <c:f>'Total Sales'!$D$1:$D$2</c:f>
              <c:strCache>
                <c:ptCount val="1"/>
                <c:pt idx="0">
                  <c:v>excelsa</c:v>
                </c:pt>
              </c:strCache>
            </c:strRef>
          </c:tx>
          <c:spPr>
            <a:ln w="28575" cap="rnd">
              <a:solidFill>
                <a:srgbClr val="6B3109"/>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Sales'!$D$3:$D$46</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79D-4896-9235-2B9336EEB460}"/>
            </c:ext>
          </c:extLst>
        </c:ser>
        <c:ser>
          <c:idx val="2"/>
          <c:order val="2"/>
          <c:tx>
            <c:strRef>
              <c:f>'Total Sales'!$E$1:$E$2</c:f>
              <c:strCache>
                <c:ptCount val="1"/>
                <c:pt idx="0">
                  <c:v>Liberica</c:v>
                </c:pt>
              </c:strCache>
            </c:strRef>
          </c:tx>
          <c:spPr>
            <a:ln w="28575" cap="rnd">
              <a:solidFill>
                <a:srgbClr val="FFFF00"/>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Sales'!$E$3:$E$46</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79D-4896-9235-2B9336EEB460}"/>
            </c:ext>
          </c:extLst>
        </c:ser>
        <c:ser>
          <c:idx val="3"/>
          <c:order val="3"/>
          <c:tx>
            <c:strRef>
              <c:f>'Total Sales'!$F$1:$F$2</c:f>
              <c:strCache>
                <c:ptCount val="1"/>
                <c:pt idx="0">
                  <c:v>Robusta</c:v>
                </c:pt>
              </c:strCache>
            </c:strRef>
          </c:tx>
          <c:spPr>
            <a:ln w="28575" cap="rnd">
              <a:solidFill>
                <a:srgbClr val="C00000"/>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Sales'!$F$3:$F$46</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79D-4896-9235-2B9336EEB460}"/>
            </c:ext>
          </c:extLst>
        </c:ser>
        <c:dLbls>
          <c:showLegendKey val="0"/>
          <c:showVal val="0"/>
          <c:showCatName val="0"/>
          <c:showSerName val="0"/>
          <c:showPercent val="0"/>
          <c:showBubbleSize val="0"/>
        </c:dLbls>
        <c:smooth val="0"/>
        <c:axId val="1968553664"/>
        <c:axId val="1968996640"/>
      </c:lineChart>
      <c:catAx>
        <c:axId val="196855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8996640"/>
        <c:crosses val="autoZero"/>
        <c:auto val="1"/>
        <c:lblAlgn val="ctr"/>
        <c:lblOffset val="100"/>
        <c:noMultiLvlLbl val="0"/>
      </c:catAx>
      <c:valAx>
        <c:axId val="196899664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8553664"/>
        <c:crosses val="autoZero"/>
        <c:crossBetween val="between"/>
      </c:valAx>
      <c:spPr>
        <a:solidFill>
          <a:srgbClr val="D1B2F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Dashboards.xlsx]Country BarChart!PivotTable1</c:name>
    <c:fmtId val="1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layout>
        <c:manualLayout>
          <c:xMode val="edge"/>
          <c:yMode val="edge"/>
          <c:x val="0.38909699450698637"/>
          <c:y val="1.9607843137254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25400">
            <a:solidFill>
              <a:schemeClr val="bg1"/>
            </a:solidFill>
          </a:ln>
          <a:effectLst/>
        </c:spPr>
      </c:pivotFmt>
      <c:pivotFmt>
        <c:idx val="2"/>
        <c:spPr>
          <a:solidFill>
            <a:srgbClr val="09FF78"/>
          </a:solidFill>
          <a:ln w="25400">
            <a:solidFill>
              <a:schemeClr val="bg1"/>
            </a:solidFill>
          </a:ln>
          <a:effectLst/>
        </c:spPr>
      </c:pivotFmt>
      <c:pivotFmt>
        <c:idx val="3"/>
        <c:spPr>
          <a:solidFill>
            <a:srgbClr val="85FFBC"/>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5FFBC"/>
          </a:solidFill>
          <a:ln w="25400">
            <a:solidFill>
              <a:schemeClr val="bg1"/>
            </a:solidFill>
          </a:ln>
          <a:effectLst/>
        </c:spPr>
      </c:pivotFmt>
      <c:pivotFmt>
        <c:idx val="6"/>
        <c:spPr>
          <a:solidFill>
            <a:srgbClr val="09FF78"/>
          </a:solidFill>
          <a:ln w="25400">
            <a:solidFill>
              <a:schemeClr val="bg1"/>
            </a:solidFill>
          </a:ln>
          <a:effectLst/>
        </c:spPr>
      </c:pivotFmt>
      <c:pivotFmt>
        <c:idx val="7"/>
        <c:spPr>
          <a:solidFill>
            <a:srgbClr val="005828"/>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5FFBC"/>
          </a:solidFill>
          <a:ln w="25400">
            <a:solidFill>
              <a:schemeClr val="bg1"/>
            </a:solidFill>
          </a:ln>
          <a:effectLst/>
        </c:spPr>
      </c:pivotFmt>
      <c:pivotFmt>
        <c:idx val="10"/>
        <c:spPr>
          <a:solidFill>
            <a:srgbClr val="09FF78"/>
          </a:solidFill>
          <a:ln w="25400">
            <a:solidFill>
              <a:schemeClr val="bg1"/>
            </a:solidFill>
          </a:ln>
          <a:effectLst/>
        </c:spPr>
      </c:pivotFmt>
      <c:pivotFmt>
        <c:idx val="11"/>
        <c:spPr>
          <a:solidFill>
            <a:srgbClr val="005828"/>
          </a:solidFill>
          <a:ln w="25400">
            <a:solidFill>
              <a:schemeClr val="bg1"/>
            </a:solidFill>
          </a:ln>
          <a:effectLst/>
        </c:spPr>
      </c:pivotFmt>
    </c:pivotFmts>
    <c:plotArea>
      <c:layout/>
      <c:barChart>
        <c:barDir val="bar"/>
        <c:grouping val="clustered"/>
        <c:varyColors val="0"/>
        <c:ser>
          <c:idx val="0"/>
          <c:order val="0"/>
          <c:tx>
            <c:strRef>
              <c:f>'Country BarChart'!$B$1</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85FFBC"/>
              </a:solidFill>
              <a:ln w="25400">
                <a:solidFill>
                  <a:schemeClr val="bg1"/>
                </a:solidFill>
              </a:ln>
              <a:effectLst/>
            </c:spPr>
            <c:extLst>
              <c:ext xmlns:c16="http://schemas.microsoft.com/office/drawing/2014/chart" uri="{C3380CC4-5D6E-409C-BE32-E72D297353CC}">
                <c16:uniqueId val="{00000001-2FF0-45EC-B383-EEEB1C7EF09B}"/>
              </c:ext>
            </c:extLst>
          </c:dPt>
          <c:dPt>
            <c:idx val="1"/>
            <c:invertIfNegative val="0"/>
            <c:bubble3D val="0"/>
            <c:spPr>
              <a:solidFill>
                <a:srgbClr val="09FF78"/>
              </a:solidFill>
              <a:ln w="25400">
                <a:solidFill>
                  <a:schemeClr val="bg1"/>
                </a:solidFill>
              </a:ln>
              <a:effectLst/>
            </c:spPr>
            <c:extLst>
              <c:ext xmlns:c16="http://schemas.microsoft.com/office/drawing/2014/chart" uri="{C3380CC4-5D6E-409C-BE32-E72D297353CC}">
                <c16:uniqueId val="{00000003-2FF0-45EC-B383-EEEB1C7EF09B}"/>
              </c:ext>
            </c:extLst>
          </c:dPt>
          <c:dPt>
            <c:idx val="2"/>
            <c:invertIfNegative val="0"/>
            <c:bubble3D val="0"/>
            <c:spPr>
              <a:solidFill>
                <a:srgbClr val="005828"/>
              </a:solidFill>
              <a:ln w="25400">
                <a:solidFill>
                  <a:schemeClr val="bg1"/>
                </a:solidFill>
              </a:ln>
              <a:effectLst/>
            </c:spPr>
            <c:extLst>
              <c:ext xmlns:c16="http://schemas.microsoft.com/office/drawing/2014/chart" uri="{C3380CC4-5D6E-409C-BE32-E72D297353CC}">
                <c16:uniqueId val="{00000005-2FF0-45EC-B383-EEEB1C7EF09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BarChart'!$A$2:$A$4</c:f>
              <c:strCache>
                <c:ptCount val="3"/>
                <c:pt idx="0">
                  <c:v>United Kingdom</c:v>
                </c:pt>
                <c:pt idx="1">
                  <c:v>Ireland</c:v>
                </c:pt>
                <c:pt idx="2">
                  <c:v>United States</c:v>
                </c:pt>
              </c:strCache>
            </c:strRef>
          </c:cat>
          <c:val>
            <c:numRef>
              <c:f>'Country BarChart'!$B$2:$B$4</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2FF0-45EC-B383-EEEB1C7EF09B}"/>
            </c:ext>
          </c:extLst>
        </c:ser>
        <c:dLbls>
          <c:dLblPos val="outEnd"/>
          <c:showLegendKey val="0"/>
          <c:showVal val="1"/>
          <c:showCatName val="0"/>
          <c:showSerName val="0"/>
          <c:showPercent val="0"/>
          <c:showBubbleSize val="0"/>
        </c:dLbls>
        <c:gapWidth val="182"/>
        <c:axId val="624703376"/>
        <c:axId val="624702416"/>
      </c:barChart>
      <c:catAx>
        <c:axId val="62470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24702416"/>
        <c:crosses val="autoZero"/>
        <c:auto val="1"/>
        <c:lblAlgn val="ctr"/>
        <c:lblOffset val="100"/>
        <c:noMultiLvlLbl val="0"/>
      </c:catAx>
      <c:valAx>
        <c:axId val="624702416"/>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2470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38100" cap="flat" cmpd="sng" algn="ctr">
      <a:solidFill>
        <a:schemeClr val="bg1"/>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Dashboards.xlsx]Top 5 Customers!PivotTable1</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25400">
            <a:solidFill>
              <a:schemeClr val="bg1"/>
            </a:solidFill>
          </a:ln>
          <a:effectLst/>
        </c:spPr>
      </c:pivotFmt>
      <c:pivotFmt>
        <c:idx val="2"/>
        <c:spPr>
          <a:solidFill>
            <a:srgbClr val="09FF78"/>
          </a:solidFill>
          <a:ln w="25400">
            <a:solidFill>
              <a:schemeClr val="bg1"/>
            </a:solidFill>
          </a:ln>
          <a:effectLst/>
        </c:spPr>
      </c:pivotFmt>
      <c:pivotFmt>
        <c:idx val="3"/>
        <c:spPr>
          <a:solidFill>
            <a:srgbClr val="85FFBC"/>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5FFBC"/>
          </a:solidFill>
          <a:ln w="25400">
            <a:solidFill>
              <a:schemeClr val="bg1"/>
            </a:solidFill>
          </a:ln>
          <a:effectLst/>
        </c:spPr>
      </c:pivotFmt>
      <c:pivotFmt>
        <c:idx val="6"/>
        <c:spPr>
          <a:solidFill>
            <a:srgbClr val="09FF78"/>
          </a:solidFill>
          <a:ln w="25400">
            <a:solidFill>
              <a:schemeClr val="bg1"/>
            </a:solidFill>
          </a:ln>
          <a:effectLst/>
        </c:spPr>
      </c:pivotFmt>
      <c:pivotFmt>
        <c:idx val="7"/>
        <c:spPr>
          <a:solidFill>
            <a:srgbClr val="005828"/>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10988626421697"/>
          <c:y val="0.23761384335154828"/>
          <c:w val="0.81191793525809275"/>
          <c:h val="0.59664601351060631"/>
        </c:manualLayout>
      </c:layout>
      <c:barChart>
        <c:barDir val="bar"/>
        <c:grouping val="clustered"/>
        <c:varyColors val="0"/>
        <c:ser>
          <c:idx val="0"/>
          <c:order val="0"/>
          <c:tx>
            <c:strRef>
              <c:f>'Top 5 Customers'!$B$1</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9C01-4C8E-B851-2A782F405831}"/>
              </c:ext>
            </c:extLst>
          </c:dPt>
          <c:dPt>
            <c:idx val="1"/>
            <c:invertIfNegative val="0"/>
            <c:bubble3D val="0"/>
            <c:extLst>
              <c:ext xmlns:c16="http://schemas.microsoft.com/office/drawing/2014/chart" uri="{C3380CC4-5D6E-409C-BE32-E72D297353CC}">
                <c16:uniqueId val="{00000001-9C01-4C8E-B851-2A782F405831}"/>
              </c:ext>
            </c:extLst>
          </c:dPt>
          <c:dPt>
            <c:idx val="2"/>
            <c:invertIfNegative val="0"/>
            <c:bubble3D val="0"/>
            <c:extLst>
              <c:ext xmlns:c16="http://schemas.microsoft.com/office/drawing/2014/chart" uri="{C3380CC4-5D6E-409C-BE32-E72D297353CC}">
                <c16:uniqueId val="{00000002-9C01-4C8E-B851-2A782F405831}"/>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Customers'!$A$2:$A$6</c:f>
              <c:strCache>
                <c:ptCount val="5"/>
                <c:pt idx="0">
                  <c:v>Don Flintiff</c:v>
                </c:pt>
                <c:pt idx="1">
                  <c:v>Nealson Cuttler</c:v>
                </c:pt>
                <c:pt idx="2">
                  <c:v>Terri Farra</c:v>
                </c:pt>
                <c:pt idx="3">
                  <c:v>Brenn Dundredge</c:v>
                </c:pt>
                <c:pt idx="4">
                  <c:v>Allis Wilmore</c:v>
                </c:pt>
              </c:strCache>
            </c:strRef>
          </c:cat>
          <c:val>
            <c:numRef>
              <c:f>'Top 5 Customers'!$B$2:$B$6</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9C01-4C8E-B851-2A782F405831}"/>
            </c:ext>
          </c:extLst>
        </c:ser>
        <c:dLbls>
          <c:dLblPos val="outEnd"/>
          <c:showLegendKey val="0"/>
          <c:showVal val="1"/>
          <c:showCatName val="0"/>
          <c:showSerName val="0"/>
          <c:showPercent val="0"/>
          <c:showBubbleSize val="0"/>
        </c:dLbls>
        <c:gapWidth val="182"/>
        <c:axId val="624703376"/>
        <c:axId val="624702416"/>
      </c:barChart>
      <c:catAx>
        <c:axId val="62470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24702416"/>
        <c:crosses val="autoZero"/>
        <c:auto val="1"/>
        <c:lblAlgn val="ctr"/>
        <c:lblOffset val="100"/>
        <c:noMultiLvlLbl val="0"/>
      </c:catAx>
      <c:valAx>
        <c:axId val="624702416"/>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2470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38100" cap="flat" cmpd="sng" algn="ctr">
      <a:solidFill>
        <a:schemeClr val="bg1"/>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22860</xdr:colOff>
      <xdr:row>1</xdr:row>
      <xdr:rowOff>15240</xdr:rowOff>
    </xdr:from>
    <xdr:to>
      <xdr:col>24</xdr:col>
      <xdr:colOff>0</xdr:colOff>
      <xdr:row>5</xdr:row>
      <xdr:rowOff>0</xdr:rowOff>
    </xdr:to>
    <xdr:sp macro="" textlink="">
      <xdr:nvSpPr>
        <xdr:cNvPr id="2" name="Rectangle 1">
          <a:extLst>
            <a:ext uri="{FF2B5EF4-FFF2-40B4-BE49-F238E27FC236}">
              <a16:creationId xmlns:a16="http://schemas.microsoft.com/office/drawing/2014/main" id="{B69739A3-543F-DC49-8AE3-694D922503BF}"/>
            </a:ext>
          </a:extLst>
        </xdr:cNvPr>
        <xdr:cNvSpPr/>
      </xdr:nvSpPr>
      <xdr:spPr>
        <a:xfrm>
          <a:off x="144780" y="76200"/>
          <a:ext cx="13997940" cy="71628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COFFEE</a:t>
          </a:r>
          <a:r>
            <a:rPr lang="en-IN" sz="4000" baseline="0">
              <a:solidFill>
                <a:schemeClr val="bg1"/>
              </a:solidFill>
            </a:rPr>
            <a:t> SALES DASHBOARD</a:t>
          </a:r>
          <a:endParaRPr lang="en-IN" sz="4000">
            <a:solidFill>
              <a:schemeClr val="bg1"/>
            </a:solidFill>
          </a:endParaRPr>
        </a:p>
      </xdr:txBody>
    </xdr:sp>
    <xdr:clientData/>
  </xdr:twoCellAnchor>
  <xdr:twoCellAnchor>
    <xdr:from>
      <xdr:col>1</xdr:col>
      <xdr:colOff>68580</xdr:colOff>
      <xdr:row>13</xdr:row>
      <xdr:rowOff>91440</xdr:rowOff>
    </xdr:from>
    <xdr:to>
      <xdr:col>12</xdr:col>
      <xdr:colOff>76200</xdr:colOff>
      <xdr:row>27</xdr:row>
      <xdr:rowOff>22860</xdr:rowOff>
    </xdr:to>
    <xdr:graphicFrame macro="">
      <xdr:nvGraphicFramePr>
        <xdr:cNvPr id="3" name="Chart 2">
          <a:extLst>
            <a:ext uri="{FF2B5EF4-FFF2-40B4-BE49-F238E27FC236}">
              <a16:creationId xmlns:a16="http://schemas.microsoft.com/office/drawing/2014/main" id="{A2C22B90-CA48-4313-8989-943FCE81B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114300</xdr:colOff>
      <xdr:row>5</xdr:row>
      <xdr:rowOff>76200</xdr:rowOff>
    </xdr:from>
    <xdr:to>
      <xdr:col>12</xdr:col>
      <xdr:colOff>45720</xdr:colOff>
      <xdr:row>12</xdr:row>
      <xdr:rowOff>175260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05047505-F608-4944-BA86-E8C32416E59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36220" y="868680"/>
              <a:ext cx="6637020" cy="13792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365760</xdr:colOff>
      <xdr:row>5</xdr:row>
      <xdr:rowOff>91439</xdr:rowOff>
    </xdr:from>
    <xdr:to>
      <xdr:col>23</xdr:col>
      <xdr:colOff>365760</xdr:colOff>
      <xdr:row>10</xdr:row>
      <xdr:rowOff>99060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DCF2B067-A036-4A1C-80C7-452F1AA76FD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070080" y="883919"/>
              <a:ext cx="1828800" cy="922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175260</xdr:colOff>
      <xdr:row>5</xdr:row>
      <xdr:rowOff>83820</xdr:rowOff>
    </xdr:from>
    <xdr:to>
      <xdr:col>17</xdr:col>
      <xdr:colOff>213360</xdr:colOff>
      <xdr:row>10</xdr:row>
      <xdr:rowOff>91440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733D26B1-2BBB-4714-BF55-E7FF09EB908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002780" y="876300"/>
              <a:ext cx="30861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297180</xdr:colOff>
      <xdr:row>5</xdr:row>
      <xdr:rowOff>76199</xdr:rowOff>
    </xdr:from>
    <xdr:to>
      <xdr:col>20</xdr:col>
      <xdr:colOff>297180</xdr:colOff>
      <xdr:row>10</xdr:row>
      <xdr:rowOff>106680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1B35B901-192D-444B-B77B-3C36AFDDC77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172700" y="868679"/>
              <a:ext cx="1828800" cy="944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190500</xdr:colOff>
      <xdr:row>10</xdr:row>
      <xdr:rowOff>160020</xdr:rowOff>
    </xdr:from>
    <xdr:to>
      <xdr:col>23</xdr:col>
      <xdr:colOff>419100</xdr:colOff>
      <xdr:row>18</xdr:row>
      <xdr:rowOff>22860</xdr:rowOff>
    </xdr:to>
    <xdr:graphicFrame macro="">
      <xdr:nvGraphicFramePr>
        <xdr:cNvPr id="8" name="Chart 7">
          <a:extLst>
            <a:ext uri="{FF2B5EF4-FFF2-40B4-BE49-F238E27FC236}">
              <a16:creationId xmlns:a16="http://schemas.microsoft.com/office/drawing/2014/main" id="{5234F550-4F8F-4A3D-89D2-F48B8A713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144780</xdr:colOff>
      <xdr:row>18</xdr:row>
      <xdr:rowOff>15240</xdr:rowOff>
    </xdr:from>
    <xdr:to>
      <xdr:col>23</xdr:col>
      <xdr:colOff>426720</xdr:colOff>
      <xdr:row>27</xdr:row>
      <xdr:rowOff>7620</xdr:rowOff>
    </xdr:to>
    <xdr:graphicFrame macro="">
      <xdr:nvGraphicFramePr>
        <xdr:cNvPr id="9" name="Chart 8">
          <a:extLst>
            <a:ext uri="{FF2B5EF4-FFF2-40B4-BE49-F238E27FC236}">
              <a16:creationId xmlns:a16="http://schemas.microsoft.com/office/drawing/2014/main" id="{DF656575-59FD-4DDB-B437-C32D5CAAE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yal" refreshedDate="46139.564569560185" createdVersion="8" refreshedVersion="8" minRefreshableVersion="3" recordCount="1000" xr:uid="{BF47D9EC-9D7D-4F55-A17E-C3C21C8E051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s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20375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37A2C4-C13B-4BD8-A26E-8788F04B080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1:F46"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3" numFmtId="168"/>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7CAD9-BC74-4C13-9ED2-40FCD207CA9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A1:B4"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69"/>
  </dataFields>
  <chartFormats count="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2"/>
          </reference>
        </references>
      </pivotArea>
    </chartFormat>
    <chartFormat chart="12" format="2">
      <pivotArea type="data" outline="0" fieldPosition="0">
        <references count="2">
          <reference field="4294967294" count="1" selected="0">
            <x v="0"/>
          </reference>
          <reference field="7" count="1" selected="0">
            <x v="0"/>
          </reference>
        </references>
      </pivotArea>
    </chartFormat>
    <chartFormat chart="12" format="3">
      <pivotArea type="data" outline="0" fieldPosition="0">
        <references count="2">
          <reference field="4294967294" count="1" selected="0">
            <x v="0"/>
          </reference>
          <reference field="7"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36356C-942F-41E3-9475-76DC28A4D00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A1: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69"/>
  </dataFields>
  <chartFormats count="6">
    <chartFormat chart="7" format="12"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CB4F15F-7997-44FC-A526-2E3450D3C739}" sourceName="Size">
  <pivotTables>
    <pivotTable tabId="18" name="PivotTable1"/>
  </pivotTables>
  <data>
    <tabular pivotCacheId="22037501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8DD09EE-9681-4F2C-BF6D-72CFFB79219D}" sourceName="Roast Type Name">
  <pivotTables>
    <pivotTable tabId="18" name="PivotTable1"/>
  </pivotTables>
  <data>
    <tabular pivotCacheId="2203750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FB2435F-23CC-48A2-9806-F0C1B6ECACDA}" sourceName="Loyalty Card">
  <pivotTables>
    <pivotTable tabId="18" name="PivotTable1"/>
  </pivotTables>
  <data>
    <tabular pivotCacheId="22037501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89E56A2-E1A6-409F-8A2A-C34F710F958F}" cache="Slicer_Size" caption="Size" columnCount="2" style="Slicer Style 1" rowHeight="234950"/>
  <slicer name="Roast Type Name" xr10:uid="{8E777297-48C0-4249-AA87-0B9ED2B634E6}" cache="Slicer_Roast_Type_Name" caption="Roast Type Name" columnCount="3" style="Slicer Style 1" rowHeight="234950"/>
  <slicer name="Loyalty Card" xr10:uid="{068ED6FD-04ED-49C2-8F5E-98D20BA58F66}"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62796-F2B1-4B4C-BBEA-FE38EDCE1AC7}" name="Orders" displayName="Orders" ref="A1:P1001" totalsRowShown="0">
  <autoFilter ref="A1:P1001" xr:uid="{5C862796-F2B1-4B4C-BBEA-FE38EDCE1AC7}"/>
  <tableColumns count="16">
    <tableColumn id="1" xr3:uid="{8BBB8CAE-C9CC-419C-9050-44063EAF9799}" name="Order ID" dataDxfId="10"/>
    <tableColumn id="2" xr3:uid="{0AF3C1E3-A805-4501-83AF-33C28F45A5B2}" name="Order Date" dataDxfId="9"/>
    <tableColumn id="3" xr3:uid="{5ED76A79-90EF-4431-A996-5AF74DB05F3A}" name="Customer ID" dataDxfId="8"/>
    <tableColumn id="4" xr3:uid="{8DA75E78-B4CA-461E-B6FA-8F10F4292EE4}" name="Product ID"/>
    <tableColumn id="5" xr3:uid="{70462660-D3AD-46F8-A91D-161768908B66}" name="Quantity" dataDxfId="7"/>
    <tableColumn id="6" xr3:uid="{563B7408-5249-49BC-8AF2-9663341BEAFF}" name="Customer Name" dataDxfId="6">
      <calculatedColumnFormula>_xlfn.XLOOKUP(C2,customers!$A$1:$A$1001,customers!$B$1:$B$1001,,0)</calculatedColumnFormula>
    </tableColumn>
    <tableColumn id="7" xr3:uid="{04C060DB-71C3-47BC-98EC-8DCCBA59A770}" name="Email" dataDxfId="5">
      <calculatedColumnFormula>IF(_xlfn.XLOOKUP(C2,customers!$A$1:$A$1001,customers!$C$1:$C$1001,,0)=0,"",_xlfn.XLOOKUP(C2,customers!$A$1:$A$1001,customers!$C$1:$C$1001,,0))</calculatedColumnFormula>
    </tableColumn>
    <tableColumn id="8" xr3:uid="{3D79BBAF-8658-468F-9570-82C564FFBE69}" name="Country" dataDxfId="4">
      <calculatedColumnFormula>_xlfn.XLOOKUP(C2,customers!$A$1:$A$1001,customers!$G$1:$G$1001,,0)</calculatedColumnFormula>
    </tableColumn>
    <tableColumn id="9" xr3:uid="{A94AA7C7-289F-4520-BB3D-95F31ABBDA57}" name="Coffee Type">
      <calculatedColumnFormula>INDEX(products!$A$1:$G$49,MATCH(orders!$D2,products!$A$1:$A$49,0),MATCH(orders!I$1,products!$A$1:$G$1,0))</calculatedColumnFormula>
    </tableColumn>
    <tableColumn id="10" xr3:uid="{91A1A1EF-3747-4992-87B8-812AE836CF9E}" name="Roast Type">
      <calculatedColumnFormula>INDEX(products!$A$1:$G$49,MATCH(orders!$D2,products!$A$1:$A$49,0),MATCH(orders!J$1,products!$A$1:$G$1,0))</calculatedColumnFormula>
    </tableColumn>
    <tableColumn id="11" xr3:uid="{FF60BD66-A267-4096-A212-01E9EF8E9B74}" name="Size" dataDxfId="3">
      <calculatedColumnFormula>INDEX(products!$A$1:$G$49,MATCH(orders!$D2,products!$A$1:$A$49,0),MATCH(orders!K$1,products!$A$1:$G$1,0))</calculatedColumnFormula>
    </tableColumn>
    <tableColumn id="12" xr3:uid="{B2D5936C-DBC6-4341-91A8-6F66BA5FDE5C}" name="Unit Price" dataDxfId="2">
      <calculatedColumnFormula>INDEX(products!$A$1:$G$49,MATCH(orders!$D2,products!$A$1:$A$49,0),MATCH(orders!L$1,products!$A$1:$G$1,0))</calculatedColumnFormula>
    </tableColumn>
    <tableColumn id="13" xr3:uid="{972B0BD4-4C90-44B6-9664-5F8C1A719512}" name="Sales" dataDxfId="1">
      <calculatedColumnFormula>L2*E2</calculatedColumnFormula>
    </tableColumn>
    <tableColumn id="14" xr3:uid="{4D1D8F7F-9650-4875-9D81-D6F6E62A663F}" name="Coffe Types Name">
      <calculatedColumnFormula>IF(I2="Rob","Robusta",IF(I2="Exc","excelsa",IF(I2="Ara","Arabica",IF(I2="Lib","Liberica",""))))</calculatedColumnFormula>
    </tableColumn>
    <tableColumn id="15" xr3:uid="{BE2503DE-1561-4C4B-BBF5-359976966CA2}" name="Roast Type Name">
      <calculatedColumnFormula>IF(J2="M","Medium",IF(J2="L","Light",IF(J2="D","Dark","")))</calculatedColumnFormula>
    </tableColumn>
    <tableColumn id="16" xr3:uid="{6DB9930A-348F-437A-9E87-F9C736A9BB8D}" name="Loyalty Card" dataDxfId="0">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315ED7D-4C20-4EB7-AF55-832D5587E4DC}" sourceName="Order Date">
  <pivotTables>
    <pivotTable tabId="18" name="PivotTable1"/>
  </pivotTables>
  <state minimalRefreshVersion="6" lastRefreshVersion="6" pivotCacheId="22037501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86761BF-B44A-481B-9981-1CF51F225B04}"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FC63A-5867-4D8F-9D5C-E5C15B2B1D75}">
  <dimension ref="A1:F46"/>
  <sheetViews>
    <sheetView workbookViewId="0">
      <selection activeCell="R15" sqref="R15"/>
    </sheetView>
  </sheetViews>
  <sheetFormatPr defaultRowHeight="14.4" x14ac:dyDescent="0.3"/>
  <cols>
    <col min="1" max="1" width="12.5546875" bestFit="1" customWidth="1"/>
    <col min="2" max="2" width="20.88671875" bestFit="1" customWidth="1"/>
    <col min="3" max="3" width="18.6640625" bestFit="1" customWidth="1"/>
    <col min="4" max="4" width="7" bestFit="1" customWidth="1"/>
    <col min="5" max="5" width="7.44140625" bestFit="1" customWidth="1"/>
    <col min="6" max="6" width="7.88671875" bestFit="1" customWidth="1"/>
    <col min="7" max="7" width="10.77734375" bestFit="1" customWidth="1"/>
  </cols>
  <sheetData>
    <row r="1" spans="1:6" x14ac:dyDescent="0.3">
      <c r="A1" s="8" t="s">
        <v>6220</v>
      </c>
      <c r="C1" s="8" t="s">
        <v>6196</v>
      </c>
    </row>
    <row r="2" spans="1:6" x14ac:dyDescent="0.3">
      <c r="A2" s="8" t="s">
        <v>6214</v>
      </c>
      <c r="B2" s="8" t="s">
        <v>6215</v>
      </c>
      <c r="C2" t="s">
        <v>6216</v>
      </c>
      <c r="D2" t="s">
        <v>6217</v>
      </c>
      <c r="E2" t="s">
        <v>6218</v>
      </c>
      <c r="F2" t="s">
        <v>6219</v>
      </c>
    </row>
    <row r="3" spans="1:6" x14ac:dyDescent="0.3">
      <c r="A3" t="s">
        <v>6198</v>
      </c>
      <c r="B3" t="s">
        <v>6202</v>
      </c>
      <c r="C3" s="9">
        <v>186.85499999999999</v>
      </c>
      <c r="D3" s="9">
        <v>305.97000000000003</v>
      </c>
      <c r="E3" s="9">
        <v>213.15999999999997</v>
      </c>
      <c r="F3" s="9">
        <v>123</v>
      </c>
    </row>
    <row r="4" spans="1:6" x14ac:dyDescent="0.3">
      <c r="B4" t="s">
        <v>6203</v>
      </c>
      <c r="C4" s="9">
        <v>251.96499999999997</v>
      </c>
      <c r="D4" s="9">
        <v>129.46</v>
      </c>
      <c r="E4" s="9">
        <v>434.03999999999996</v>
      </c>
      <c r="F4" s="9">
        <v>171.93999999999997</v>
      </c>
    </row>
    <row r="5" spans="1:6" x14ac:dyDescent="0.3">
      <c r="B5" t="s">
        <v>6204</v>
      </c>
      <c r="C5" s="9">
        <v>224.94499999999999</v>
      </c>
      <c r="D5" s="9">
        <v>349.12</v>
      </c>
      <c r="E5" s="9">
        <v>321.04000000000002</v>
      </c>
      <c r="F5" s="9">
        <v>126.035</v>
      </c>
    </row>
    <row r="6" spans="1:6" x14ac:dyDescent="0.3">
      <c r="B6" t="s">
        <v>6205</v>
      </c>
      <c r="C6" s="9">
        <v>307.12</v>
      </c>
      <c r="D6" s="9">
        <v>681.07499999999993</v>
      </c>
      <c r="E6" s="9">
        <v>533.70499999999993</v>
      </c>
      <c r="F6" s="9">
        <v>158.85</v>
      </c>
    </row>
    <row r="7" spans="1:6" x14ac:dyDescent="0.3">
      <c r="B7" t="s">
        <v>6206</v>
      </c>
      <c r="C7" s="9">
        <v>53.664999999999992</v>
      </c>
      <c r="D7" s="9">
        <v>83.025000000000006</v>
      </c>
      <c r="E7" s="9">
        <v>193.83499999999998</v>
      </c>
      <c r="F7" s="9">
        <v>68.039999999999992</v>
      </c>
    </row>
    <row r="8" spans="1:6" x14ac:dyDescent="0.3">
      <c r="B8" t="s">
        <v>6207</v>
      </c>
      <c r="C8" s="9">
        <v>163.01999999999998</v>
      </c>
      <c r="D8" s="9">
        <v>678.3599999999999</v>
      </c>
      <c r="E8" s="9">
        <v>171.04500000000002</v>
      </c>
      <c r="F8" s="9">
        <v>372.255</v>
      </c>
    </row>
    <row r="9" spans="1:6" x14ac:dyDescent="0.3">
      <c r="B9" t="s">
        <v>6208</v>
      </c>
      <c r="C9" s="9">
        <v>345.02</v>
      </c>
      <c r="D9" s="9">
        <v>273.86999999999995</v>
      </c>
      <c r="E9" s="9">
        <v>184.12999999999997</v>
      </c>
      <c r="F9" s="9">
        <v>201.11499999999998</v>
      </c>
    </row>
    <row r="10" spans="1:6" x14ac:dyDescent="0.3">
      <c r="B10" t="s">
        <v>6209</v>
      </c>
      <c r="C10" s="9">
        <v>334.89</v>
      </c>
      <c r="D10" s="9">
        <v>70.95</v>
      </c>
      <c r="E10" s="9">
        <v>134.23000000000002</v>
      </c>
      <c r="F10" s="9">
        <v>166.27499999999998</v>
      </c>
    </row>
    <row r="11" spans="1:6" x14ac:dyDescent="0.3">
      <c r="B11" t="s">
        <v>6210</v>
      </c>
      <c r="C11" s="9">
        <v>178.70999999999998</v>
      </c>
      <c r="D11" s="9">
        <v>166.1</v>
      </c>
      <c r="E11" s="9">
        <v>439.30999999999995</v>
      </c>
      <c r="F11" s="9">
        <v>492.9</v>
      </c>
    </row>
    <row r="12" spans="1:6" x14ac:dyDescent="0.3">
      <c r="B12" t="s">
        <v>6211</v>
      </c>
      <c r="C12" s="9">
        <v>301.98500000000001</v>
      </c>
      <c r="D12" s="9">
        <v>153.76499999999999</v>
      </c>
      <c r="E12" s="9">
        <v>215.55499999999998</v>
      </c>
      <c r="F12" s="9">
        <v>213.66499999999999</v>
      </c>
    </row>
    <row r="13" spans="1:6" x14ac:dyDescent="0.3">
      <c r="B13" t="s">
        <v>6212</v>
      </c>
      <c r="C13" s="9">
        <v>312.83499999999998</v>
      </c>
      <c r="D13" s="9">
        <v>63.249999999999993</v>
      </c>
      <c r="E13" s="9">
        <v>350.89500000000004</v>
      </c>
      <c r="F13" s="9">
        <v>96.405000000000001</v>
      </c>
    </row>
    <row r="14" spans="1:6" x14ac:dyDescent="0.3">
      <c r="B14" t="s">
        <v>6213</v>
      </c>
      <c r="C14" s="9">
        <v>265.62</v>
      </c>
      <c r="D14" s="9">
        <v>526.51499999999987</v>
      </c>
      <c r="E14" s="9">
        <v>187.06</v>
      </c>
      <c r="F14" s="9">
        <v>210.58999999999997</v>
      </c>
    </row>
    <row r="15" spans="1:6" x14ac:dyDescent="0.3">
      <c r="A15" t="s">
        <v>6199</v>
      </c>
      <c r="B15" t="s">
        <v>6202</v>
      </c>
      <c r="C15" s="9">
        <v>47.25</v>
      </c>
      <c r="D15" s="9">
        <v>65.805000000000007</v>
      </c>
      <c r="E15" s="9">
        <v>274.67500000000001</v>
      </c>
      <c r="F15" s="9">
        <v>179.22</v>
      </c>
    </row>
    <row r="16" spans="1:6" x14ac:dyDescent="0.3">
      <c r="B16" t="s">
        <v>6203</v>
      </c>
      <c r="C16" s="9">
        <v>745.44999999999993</v>
      </c>
      <c r="D16" s="9">
        <v>428.88499999999999</v>
      </c>
      <c r="E16" s="9">
        <v>194.17499999999998</v>
      </c>
      <c r="F16" s="9">
        <v>429.82999999999993</v>
      </c>
    </row>
    <row r="17" spans="1:6" x14ac:dyDescent="0.3">
      <c r="B17" t="s">
        <v>6204</v>
      </c>
      <c r="C17" s="9">
        <v>130.47</v>
      </c>
      <c r="D17" s="9">
        <v>271.48500000000001</v>
      </c>
      <c r="E17" s="9">
        <v>281.20499999999998</v>
      </c>
      <c r="F17" s="9">
        <v>231.63000000000002</v>
      </c>
    </row>
    <row r="18" spans="1:6" x14ac:dyDescent="0.3">
      <c r="B18" t="s">
        <v>6205</v>
      </c>
      <c r="C18" s="9">
        <v>27</v>
      </c>
      <c r="D18" s="9">
        <v>347.26</v>
      </c>
      <c r="E18" s="9">
        <v>147.51</v>
      </c>
      <c r="F18" s="9">
        <v>240.04</v>
      </c>
    </row>
    <row r="19" spans="1:6" x14ac:dyDescent="0.3">
      <c r="B19" t="s">
        <v>6206</v>
      </c>
      <c r="C19" s="9">
        <v>255.11499999999995</v>
      </c>
      <c r="D19" s="9">
        <v>541.73</v>
      </c>
      <c r="E19" s="9">
        <v>83.43</v>
      </c>
      <c r="F19" s="9">
        <v>59.079999999999991</v>
      </c>
    </row>
    <row r="20" spans="1:6" x14ac:dyDescent="0.3">
      <c r="B20" t="s">
        <v>6207</v>
      </c>
      <c r="C20" s="9">
        <v>584.78999999999985</v>
      </c>
      <c r="D20" s="9">
        <v>357.42999999999995</v>
      </c>
      <c r="E20" s="9">
        <v>355.34</v>
      </c>
      <c r="F20" s="9">
        <v>140.88</v>
      </c>
    </row>
    <row r="21" spans="1:6" x14ac:dyDescent="0.3">
      <c r="B21" t="s">
        <v>6208</v>
      </c>
      <c r="C21" s="9">
        <v>430.62</v>
      </c>
      <c r="D21" s="9">
        <v>227.42500000000001</v>
      </c>
      <c r="E21" s="9">
        <v>236.315</v>
      </c>
      <c r="F21" s="9">
        <v>414.58499999999992</v>
      </c>
    </row>
    <row r="22" spans="1:6" x14ac:dyDescent="0.3">
      <c r="B22" t="s">
        <v>6209</v>
      </c>
      <c r="C22" s="9">
        <v>22.5</v>
      </c>
      <c r="D22" s="9">
        <v>77.72</v>
      </c>
      <c r="E22" s="9">
        <v>60.5</v>
      </c>
      <c r="F22" s="9">
        <v>139.67999999999998</v>
      </c>
    </row>
    <row r="23" spans="1:6" x14ac:dyDescent="0.3">
      <c r="B23" t="s">
        <v>6210</v>
      </c>
      <c r="C23" s="9">
        <v>126.14999999999999</v>
      </c>
      <c r="D23" s="9">
        <v>195.11</v>
      </c>
      <c r="E23" s="9">
        <v>89.13</v>
      </c>
      <c r="F23" s="9">
        <v>302.65999999999997</v>
      </c>
    </row>
    <row r="24" spans="1:6" x14ac:dyDescent="0.3">
      <c r="B24" t="s">
        <v>6211</v>
      </c>
      <c r="C24" s="9">
        <v>376.03</v>
      </c>
      <c r="D24" s="9">
        <v>523.24</v>
      </c>
      <c r="E24" s="9">
        <v>440.96499999999997</v>
      </c>
      <c r="F24" s="9">
        <v>174.46999999999997</v>
      </c>
    </row>
    <row r="25" spans="1:6" x14ac:dyDescent="0.3">
      <c r="B25" t="s">
        <v>6212</v>
      </c>
      <c r="C25" s="9">
        <v>515.17999999999995</v>
      </c>
      <c r="D25" s="9">
        <v>142.56</v>
      </c>
      <c r="E25" s="9">
        <v>347.03999999999996</v>
      </c>
      <c r="F25" s="9">
        <v>104.08499999999999</v>
      </c>
    </row>
    <row r="26" spans="1:6" x14ac:dyDescent="0.3">
      <c r="B26" t="s">
        <v>6213</v>
      </c>
      <c r="C26" s="9">
        <v>95.859999999999985</v>
      </c>
      <c r="D26" s="9">
        <v>484.76</v>
      </c>
      <c r="E26" s="9">
        <v>94.17</v>
      </c>
      <c r="F26" s="9">
        <v>77.10499999999999</v>
      </c>
    </row>
    <row r="27" spans="1:6" x14ac:dyDescent="0.3">
      <c r="A27" t="s">
        <v>6200</v>
      </c>
      <c r="B27" t="s">
        <v>6202</v>
      </c>
      <c r="C27" s="9">
        <v>258.34500000000003</v>
      </c>
      <c r="D27" s="9">
        <v>139.625</v>
      </c>
      <c r="E27" s="9">
        <v>279.52000000000004</v>
      </c>
      <c r="F27" s="9">
        <v>160.19499999999999</v>
      </c>
    </row>
    <row r="28" spans="1:6" x14ac:dyDescent="0.3">
      <c r="B28" t="s">
        <v>6203</v>
      </c>
      <c r="C28" s="9">
        <v>342.2</v>
      </c>
      <c r="D28" s="9">
        <v>284.24999999999994</v>
      </c>
      <c r="E28" s="9">
        <v>251.83</v>
      </c>
      <c r="F28" s="9">
        <v>80.550000000000011</v>
      </c>
    </row>
    <row r="29" spans="1:6" x14ac:dyDescent="0.3">
      <c r="B29" t="s">
        <v>6204</v>
      </c>
      <c r="C29" s="9">
        <v>418.30499999999989</v>
      </c>
      <c r="D29" s="9">
        <v>468.125</v>
      </c>
      <c r="E29" s="9">
        <v>405.05500000000006</v>
      </c>
      <c r="F29" s="9">
        <v>253.15499999999997</v>
      </c>
    </row>
    <row r="30" spans="1:6" x14ac:dyDescent="0.3">
      <c r="B30" t="s">
        <v>6205</v>
      </c>
      <c r="C30" s="9">
        <v>102.32999999999998</v>
      </c>
      <c r="D30" s="9">
        <v>242.14000000000001</v>
      </c>
      <c r="E30" s="9">
        <v>554.875</v>
      </c>
      <c r="F30" s="9">
        <v>106.23999999999998</v>
      </c>
    </row>
    <row r="31" spans="1:6" x14ac:dyDescent="0.3">
      <c r="B31" t="s">
        <v>6206</v>
      </c>
      <c r="C31" s="9">
        <v>234.71999999999997</v>
      </c>
      <c r="D31" s="9">
        <v>133.08000000000001</v>
      </c>
      <c r="E31" s="9">
        <v>267.2</v>
      </c>
      <c r="F31" s="9">
        <v>272.68999999999994</v>
      </c>
    </row>
    <row r="32" spans="1:6" x14ac:dyDescent="0.3">
      <c r="B32" t="s">
        <v>6207</v>
      </c>
      <c r="C32" s="9">
        <v>430.39</v>
      </c>
      <c r="D32" s="9">
        <v>136.20500000000001</v>
      </c>
      <c r="E32" s="9">
        <v>209.6</v>
      </c>
      <c r="F32" s="9">
        <v>88.334999999999994</v>
      </c>
    </row>
    <row r="33" spans="1:6" x14ac:dyDescent="0.3">
      <c r="B33" t="s">
        <v>6208</v>
      </c>
      <c r="C33" s="9">
        <v>109.005</v>
      </c>
      <c r="D33" s="9">
        <v>393.57499999999999</v>
      </c>
      <c r="E33" s="9">
        <v>61.034999999999997</v>
      </c>
      <c r="F33" s="9">
        <v>199.48999999999998</v>
      </c>
    </row>
    <row r="34" spans="1:6" x14ac:dyDescent="0.3">
      <c r="B34" t="s">
        <v>6209</v>
      </c>
      <c r="C34" s="9">
        <v>287.52499999999998</v>
      </c>
      <c r="D34" s="9">
        <v>288.67</v>
      </c>
      <c r="E34" s="9">
        <v>125.58</v>
      </c>
      <c r="F34" s="9">
        <v>374.13499999999999</v>
      </c>
    </row>
    <row r="35" spans="1:6" x14ac:dyDescent="0.3">
      <c r="B35" t="s">
        <v>6210</v>
      </c>
      <c r="C35" s="9">
        <v>840.92999999999984</v>
      </c>
      <c r="D35" s="9">
        <v>409.875</v>
      </c>
      <c r="E35" s="9">
        <v>171.32999999999998</v>
      </c>
      <c r="F35" s="9">
        <v>221.43999999999997</v>
      </c>
    </row>
    <row r="36" spans="1:6" x14ac:dyDescent="0.3">
      <c r="B36" t="s">
        <v>6211</v>
      </c>
      <c r="C36" s="9">
        <v>299.07</v>
      </c>
      <c r="D36" s="9">
        <v>260.32499999999999</v>
      </c>
      <c r="E36" s="9">
        <v>584.64</v>
      </c>
      <c r="F36" s="9">
        <v>256.36500000000001</v>
      </c>
    </row>
    <row r="37" spans="1:6" x14ac:dyDescent="0.3">
      <c r="B37" t="s">
        <v>6212</v>
      </c>
      <c r="C37" s="9">
        <v>323.32499999999999</v>
      </c>
      <c r="D37" s="9">
        <v>565.57000000000005</v>
      </c>
      <c r="E37" s="9">
        <v>537.80999999999995</v>
      </c>
      <c r="F37" s="9">
        <v>189.47499999999999</v>
      </c>
    </row>
    <row r="38" spans="1:6" x14ac:dyDescent="0.3">
      <c r="B38" t="s">
        <v>6213</v>
      </c>
      <c r="C38" s="9">
        <v>399.48499999999996</v>
      </c>
      <c r="D38" s="9">
        <v>148.19999999999999</v>
      </c>
      <c r="E38" s="9">
        <v>388.21999999999997</v>
      </c>
      <c r="F38" s="9">
        <v>212.07499999999999</v>
      </c>
    </row>
    <row r="39" spans="1:6" x14ac:dyDescent="0.3">
      <c r="A39" t="s">
        <v>6201</v>
      </c>
      <c r="B39" t="s">
        <v>6202</v>
      </c>
      <c r="C39" s="9">
        <v>112.69499999999999</v>
      </c>
      <c r="D39" s="9">
        <v>166.32</v>
      </c>
      <c r="E39" s="9">
        <v>843.71499999999992</v>
      </c>
      <c r="F39" s="9">
        <v>146.685</v>
      </c>
    </row>
    <row r="40" spans="1:6" x14ac:dyDescent="0.3">
      <c r="B40" t="s">
        <v>6203</v>
      </c>
      <c r="C40" s="9">
        <v>114.87999999999998</v>
      </c>
      <c r="D40" s="9">
        <v>133.815</v>
      </c>
      <c r="E40" s="9">
        <v>91.175000000000011</v>
      </c>
      <c r="F40" s="9">
        <v>53.759999999999991</v>
      </c>
    </row>
    <row r="41" spans="1:6" x14ac:dyDescent="0.3">
      <c r="B41" t="s">
        <v>6204</v>
      </c>
      <c r="C41" s="9">
        <v>277.76</v>
      </c>
      <c r="D41" s="9">
        <v>175.41</v>
      </c>
      <c r="E41" s="9">
        <v>462.50999999999993</v>
      </c>
      <c r="F41" s="9">
        <v>399.52499999999998</v>
      </c>
    </row>
    <row r="42" spans="1:6" x14ac:dyDescent="0.3">
      <c r="B42" t="s">
        <v>6205</v>
      </c>
      <c r="C42" s="9">
        <v>197.89499999999998</v>
      </c>
      <c r="D42" s="9">
        <v>289.755</v>
      </c>
      <c r="E42" s="9">
        <v>88.545000000000002</v>
      </c>
      <c r="F42" s="9">
        <v>200.25499999999997</v>
      </c>
    </row>
    <row r="43" spans="1:6" x14ac:dyDescent="0.3">
      <c r="B43" t="s">
        <v>6206</v>
      </c>
      <c r="C43" s="9">
        <v>193.11499999999998</v>
      </c>
      <c r="D43" s="9">
        <v>212.49499999999998</v>
      </c>
      <c r="E43" s="9">
        <v>292.29000000000002</v>
      </c>
      <c r="F43" s="9">
        <v>304.46999999999997</v>
      </c>
    </row>
    <row r="44" spans="1:6" x14ac:dyDescent="0.3">
      <c r="B44" t="s">
        <v>6207</v>
      </c>
      <c r="C44" s="9">
        <v>179.79</v>
      </c>
      <c r="D44" s="9">
        <v>426.2</v>
      </c>
      <c r="E44" s="9">
        <v>170.08999999999997</v>
      </c>
      <c r="F44" s="9">
        <v>379.31</v>
      </c>
    </row>
    <row r="45" spans="1:6" x14ac:dyDescent="0.3">
      <c r="B45" t="s">
        <v>6208</v>
      </c>
      <c r="C45" s="9">
        <v>247.28999999999996</v>
      </c>
      <c r="D45" s="9">
        <v>246.685</v>
      </c>
      <c r="E45" s="9">
        <v>271.05499999999995</v>
      </c>
      <c r="F45" s="9">
        <v>141.69999999999999</v>
      </c>
    </row>
    <row r="46" spans="1:6" x14ac:dyDescent="0.3">
      <c r="B46" t="s">
        <v>6209</v>
      </c>
      <c r="C46" s="9">
        <v>116.39499999999998</v>
      </c>
      <c r="D46" s="9">
        <v>41.25</v>
      </c>
      <c r="E46" s="9">
        <v>15.54</v>
      </c>
      <c r="F46" s="9">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2FDC3-E50E-4380-8AC5-9502B9F30B7C}">
  <dimension ref="A1:B4"/>
  <sheetViews>
    <sheetView workbookViewId="0">
      <selection activeCell="B4" sqref="B4"/>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 min="7" max="7" width="10.77734375" bestFit="1" customWidth="1"/>
  </cols>
  <sheetData>
    <row r="1" spans="1:2" x14ac:dyDescent="0.3">
      <c r="A1" s="8" t="s">
        <v>7</v>
      </c>
      <c r="B1" t="s">
        <v>6220</v>
      </c>
    </row>
    <row r="2" spans="1:2" x14ac:dyDescent="0.3">
      <c r="A2" t="s">
        <v>28</v>
      </c>
      <c r="B2" s="10">
        <v>2798.5050000000001</v>
      </c>
    </row>
    <row r="3" spans="1:2" x14ac:dyDescent="0.3">
      <c r="A3" t="s">
        <v>318</v>
      </c>
      <c r="B3" s="10">
        <v>6696.8649999999989</v>
      </c>
    </row>
    <row r="4" spans="1:2" x14ac:dyDescent="0.3">
      <c r="A4" t="s">
        <v>19</v>
      </c>
      <c r="B4" s="10">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543F-05BC-4662-B6A0-BD6E3D84D6AA}">
  <dimension ref="A1:B6"/>
  <sheetViews>
    <sheetView workbookViewId="0">
      <selection activeCell="L3" sqref="L3"/>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 min="7" max="7" width="10.77734375" bestFit="1" customWidth="1"/>
  </cols>
  <sheetData>
    <row r="1" spans="1:2" x14ac:dyDescent="0.3">
      <c r="A1" s="8" t="s">
        <v>4</v>
      </c>
      <c r="B1" t="s">
        <v>6220</v>
      </c>
    </row>
    <row r="2" spans="1:2" x14ac:dyDescent="0.3">
      <c r="A2" t="s">
        <v>3753</v>
      </c>
      <c r="B2" s="10">
        <v>278.01</v>
      </c>
    </row>
    <row r="3" spans="1:2" x14ac:dyDescent="0.3">
      <c r="A3" t="s">
        <v>1598</v>
      </c>
      <c r="B3" s="10">
        <v>281.67499999999995</v>
      </c>
    </row>
    <row r="4" spans="1:2" x14ac:dyDescent="0.3">
      <c r="A4" t="s">
        <v>2587</v>
      </c>
      <c r="B4" s="10">
        <v>289.11</v>
      </c>
    </row>
    <row r="5" spans="1:2" x14ac:dyDescent="0.3">
      <c r="A5" t="s">
        <v>5765</v>
      </c>
      <c r="B5" s="10">
        <v>307.04499999999996</v>
      </c>
    </row>
    <row r="6" spans="1:2" x14ac:dyDescent="0.3">
      <c r="A6" t="s">
        <v>5114</v>
      </c>
      <c r="B6" s="10">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A2" sqref="A2:P1001"/>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28.77734375" customWidth="1"/>
    <col min="8" max="8" width="18.6640625" customWidth="1"/>
    <col min="9" max="9" width="12.6640625" customWidth="1"/>
    <col min="10" max="10" width="11.6640625" customWidth="1"/>
    <col min="11" max="11" width="5.88671875" bestFit="1" customWidth="1"/>
    <col min="12" max="12" width="11.77734375" customWidth="1"/>
    <col min="13" max="13" width="8.77734375" bestFit="1" customWidth="1"/>
    <col min="14" max="14" width="19.21875" customWidth="1"/>
    <col min="15" max="15" width="24.21875" customWidth="1"/>
    <col min="16" max="16" width="22.21875" customWidth="1"/>
  </cols>
  <sheetData>
    <row r="1" spans="1:16" x14ac:dyDescent="0.3">
      <c r="A1" s="2" t="s">
        <v>0</v>
      </c>
      <c r="B1" s="3" t="s">
        <v>1</v>
      </c>
      <c r="C1" s="2" t="s">
        <v>3</v>
      </c>
      <c r="D1" s="2" t="s">
        <v>11</v>
      </c>
      <c r="E1" s="2" t="s">
        <v>14</v>
      </c>
      <c r="F1" s="2" t="s">
        <v>4</v>
      </c>
      <c r="G1" s="2" t="s">
        <v>2</v>
      </c>
      <c r="H1" s="2" t="s">
        <v>7</v>
      </c>
      <c r="I1" s="2" t="s">
        <v>9</v>
      </c>
      <c r="J1" s="2" t="s">
        <v>10</v>
      </c>
      <c r="K1" s="4" t="s">
        <v>12</v>
      </c>
      <c r="L1" s="6" t="s">
        <v>13</v>
      </c>
      <c r="M1" s="6" t="s">
        <v>15</v>
      </c>
      <c r="N1" s="2" t="s">
        <v>6196</v>
      </c>
      <c r="O1" s="2" t="s">
        <v>6197</v>
      </c>
      <c r="P1"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s="7">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s="7">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s="7">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s="7">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s="7">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s="7">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s="7">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s="7">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s="7">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s="7">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s="7">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s="7">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s="7">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s="7">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s="7">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s="7">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s="7">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s="7">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s="7">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s="7">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s="7">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s="7">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s="7">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s="7">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s="7">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s="7">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s="7">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s="7">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s="7">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s="7">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s="7">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s="7">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s="7">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s="7">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s="7">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s="7">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s="7">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s="7">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s="7">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s="7">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s="7">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s="7">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s="7">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s="7">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s="7">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s="7">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s="7">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s="7">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s="7">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s="7">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s="7">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s="7">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s="7">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s="7">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s="7">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s="7">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s="7">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s="7">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s="7">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s="7">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s="7">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s="7">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s="7">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s="7">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s="7">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s="7">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s="7">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s="7">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s="7">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s="7">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s="7">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s="7">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s="7">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s="7">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s="7">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s="7">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s="7">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s="7">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s="7">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s="7">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s="7">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s="7">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s="7">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s="7">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s="7">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s="7">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s="7">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s="7">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s="7">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s="7">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s="7">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s="7">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s="7">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s="7">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s="7">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s="7">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s="7">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s="7">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s="7">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s="7">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s="7">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s="7">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s="7">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s="7">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s="7">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s="7">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s="7">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s="7">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s="7">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s="7">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s="7">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s="7">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s="7">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s="7">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s="7">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s="7">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s="7">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s="7">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s="7">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s="7">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s="7">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s="7">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s="7">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s="7">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s="7">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s="7">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s="7">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s="7">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s="7">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s="7">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s="7">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s="7">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s="7">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s="7">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s="7">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s="7">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s="7">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s="7">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s="7">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s="7">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s="7">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s="7">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s="7">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s="7">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s="7">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s="7">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s="7">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s="7">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s="7">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s="7">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s="7">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s="7">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s="7">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s="7">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s="7">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s="7">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s="7">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s="7">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s="7">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s="7">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s="7">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s="7">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s="7">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s="7">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s="7">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s="7">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s="7">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s="7">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s="7">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s="7">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s="7">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s="7">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s="7">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s="7">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s="7">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s="7">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s="7">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s="7">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s="7">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s="7">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s="7">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s="7">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s="7">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s="7">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s="7">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s="7">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s="7">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s="7">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s="7">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s="7">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s="7">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s="7">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s="7">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s="7">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s="7">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s="7">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s="7">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s="7">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s="7">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s="7">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s="7">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s="7">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s="7">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s="7">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s="7">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s="7">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s="7">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s="7">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s="7">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s="7">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s="7">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s="7">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s="7">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s="7">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s="7">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s="7">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s="7">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s="7">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s="7">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s="7">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s="7">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s="7">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s="7">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s="7">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s="7">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s="7">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s="7">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s="7">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s="7">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s="7">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s="7">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s="7">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s="7">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s="7">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s="7">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s="7">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s="7">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s="7">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s="7">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s="7">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s="7">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s="7">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s="7">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s="7">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s="7">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s="7">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76"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E3899-9040-49CF-AAF9-3FF74840FBBB}">
  <sheetPr>
    <pageSetUpPr fitToPage="1"/>
  </sheetPr>
  <dimension ref="A1"/>
  <sheetViews>
    <sheetView tabSelected="1" workbookViewId="0">
      <selection activeCell="X9" sqref="X9"/>
    </sheetView>
  </sheetViews>
  <sheetFormatPr defaultRowHeight="14.4" x14ac:dyDescent="0.3"/>
  <cols>
    <col min="1" max="1" width="1.77734375" customWidth="1"/>
  </cols>
  <sheetData>
    <row r="1" ht="4.95" customHeight="1" x14ac:dyDescent="0.3"/>
  </sheetData>
  <printOptions horizontalCentered="1" verticalCentered="1"/>
  <pageMargins left="0.70866141732283472" right="0.70866141732283472" top="0.74803149606299213" bottom="0.59055118110236227" header="0.31496062992125984" footer="0.31496062992125984"/>
  <pageSetup scale="41"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BarChart</vt:lpstr>
      <vt:lpstr>Top 5 Customers</vt:lpstr>
      <vt:lpstr>orders</vt:lpstr>
      <vt:lpstr>customers</vt:lpstr>
      <vt:lpstr>products</vt:lpstr>
      <vt:lpstr>Dashboards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kayal</dc:creator>
  <cp:keywords/>
  <dc:description/>
  <cp:lastModifiedBy>kayalvizhids8@gmail.com</cp:lastModifiedBy>
  <cp:revision/>
  <dcterms:created xsi:type="dcterms:W3CDTF">2022-11-26T09:51:45Z</dcterms:created>
  <dcterms:modified xsi:type="dcterms:W3CDTF">2026-05-01T05:17:19Z</dcterms:modified>
  <cp:category/>
  <cp:contentStatus/>
</cp:coreProperties>
</file>